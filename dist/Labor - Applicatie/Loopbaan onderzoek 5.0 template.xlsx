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C:\Users\lucas\OneDrive\Documents\GitHub\LaborProject2026\"/>
    </mc:Choice>
  </mc:AlternateContent>
  <xr:revisionPtr revIDLastSave="0" documentId="13_ncr:1_{3FAB99EB-5B68-43A3-A67D-6C55BA6C0CEE}" xr6:coauthVersionLast="47" xr6:coauthVersionMax="47" xr10:uidLastSave="{00000000-0000-0000-0000-000000000000}"/>
  <bookViews>
    <workbookView xWindow="22932" yWindow="-108" windowWidth="23256" windowHeight="12456" firstSheet="5" activeTab="5" xr2:uid="{00000000-000D-0000-FFFF-FFFF00000000}"/>
  </bookViews>
  <sheets>
    <sheet name="Fase 1.0 | Loopbaanfasen" sheetId="1" r:id="rId1"/>
    <sheet name="Fase 1.1 | Big Five Dimensies" sheetId="2" r:id="rId2"/>
    <sheet name="Fase 2.0 | Loopbaanankers" sheetId="3" r:id="rId3"/>
    <sheet name="Fase 2.1 | Carriere Clusters" sheetId="4" r:id="rId4"/>
    <sheet name="Fase 2.2 | Cultuur analyse" sheetId="5" r:id="rId5"/>
    <sheet name="Fase 2.3 | J.C.M." sheetId="6" r:id="rId6"/>
    <sheet name="Rapport" sheetId="7" r:id="rId7"/>
    <sheet name="Gegevens" sheetId="8" r:id="rId8"/>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21" i="5" l="1"/>
  <c r="D17" i="5" s="1"/>
  <c r="C16" i="5"/>
  <c r="D12" i="5" s="1"/>
  <c r="C11" i="5"/>
  <c r="D7" i="5" s="1"/>
  <c r="C6" i="5"/>
  <c r="D2" i="5"/>
  <c r="G131" i="4"/>
  <c r="E131" i="4"/>
  <c r="C131" i="4"/>
  <c r="H124" i="4" s="1"/>
  <c r="G123" i="4"/>
  <c r="E123" i="4"/>
  <c r="C123" i="4"/>
  <c r="H116" i="4"/>
  <c r="G115" i="4"/>
  <c r="E115" i="4"/>
  <c r="C115" i="4"/>
  <c r="H108" i="4" s="1"/>
  <c r="G107" i="4"/>
  <c r="E107" i="4"/>
  <c r="C107" i="4"/>
  <c r="H100" i="4"/>
  <c r="G99" i="4"/>
  <c r="E99" i="4"/>
  <c r="C99" i="4"/>
  <c r="H92" i="4" s="1"/>
  <c r="G91" i="4"/>
  <c r="E91" i="4"/>
  <c r="C91" i="4"/>
  <c r="H84" i="4"/>
  <c r="G83" i="4"/>
  <c r="E83" i="4"/>
  <c r="C83" i="4"/>
  <c r="H76" i="4" s="1"/>
  <c r="G75" i="4"/>
  <c r="E75" i="4"/>
  <c r="C75" i="4"/>
  <c r="H68" i="4"/>
  <c r="G67" i="4"/>
  <c r="E67" i="4"/>
  <c r="C67" i="4"/>
  <c r="H60" i="4" s="1"/>
  <c r="G59" i="4"/>
  <c r="E59" i="4"/>
  <c r="C59" i="4"/>
  <c r="H52" i="4"/>
  <c r="G51" i="4"/>
  <c r="E51" i="4"/>
  <c r="C51" i="4"/>
  <c r="H44" i="4" s="1"/>
  <c r="G43" i="4"/>
  <c r="E43" i="4"/>
  <c r="C43" i="4"/>
  <c r="H36" i="4"/>
  <c r="G35" i="4"/>
  <c r="E35" i="4"/>
  <c r="C35" i="4"/>
  <c r="H28" i="4" s="1"/>
  <c r="G27" i="4"/>
  <c r="E27" i="4"/>
  <c r="C27" i="4"/>
  <c r="H20" i="4"/>
  <c r="G19" i="4"/>
  <c r="E19" i="4"/>
  <c r="C19" i="4"/>
  <c r="H12" i="4" s="1"/>
  <c r="G11" i="4"/>
  <c r="E11" i="4"/>
  <c r="C11" i="4"/>
  <c r="H4" i="4"/>
  <c r="G100" i="3"/>
  <c r="F100" i="3"/>
  <c r="E100" i="3"/>
  <c r="D100" i="3"/>
  <c r="C100" i="3"/>
  <c r="C101" i="3" s="1"/>
  <c r="G54" i="2"/>
  <c r="F54" i="2"/>
  <c r="E54" i="2"/>
  <c r="D54" i="2"/>
  <c r="C54" i="2"/>
</calcChain>
</file>

<file path=xl/sharedStrings.xml><?xml version="1.0" encoding="utf-8"?>
<sst xmlns="http://schemas.openxmlformats.org/spreadsheetml/2006/main" count="729" uniqueCount="668">
  <si>
    <t>Component</t>
  </si>
  <si>
    <t>Omschrijving</t>
  </si>
  <si>
    <t>Vraagstelling</t>
  </si>
  <si>
    <t>Toelichting</t>
  </si>
  <si>
    <t>Taakvaardigheid</t>
  </si>
  <si>
    <t>De mate waarin een baan verschillende activiteiten vereist, waarbij de werknemer een verscheidenheid aan vaardigheden en talenten moet ontwikkelen. Werknemers kunnen meer betekenis ervaren in banen die verschillende vaardigheden en capaciteiten vereisen dan wanneer de banen elementair en routinematig zijn.</t>
  </si>
  <si>
    <t>Hoe belangrijk vind je het dat je werk bestaat uit verschillende soorten activiteiten waarbij je diverse vaardigheden en talenten kunt inzetten en/of ontwikkelen? En wat zou voor jou een ideale verhouding zijn tussen afwisselende taken en meer routinematige werkzaamheden?</t>
  </si>
  <si>
    <t>Taakidentiteit</t>
  </si>
  <si>
    <t>De mate waarin de functie vereist dat de functiehouders een werkstuk identificeren en voltooien met een zichtbaar resultaat. Werknemers ervaren meer zingeving in een baan wanneer ze betrokken zijn bij het hele proces in plaats van alleen verantwoordelijk te zijn voor een deel van het werk.</t>
  </si>
  <si>
    <t>Hoe belangrijk vind je het om in je werk betrokken te zijn bij een volledig proces of werkstuk, van begin tot eind, met een duidelijk zichtbaar resultaat? En in hoeverre zou je idealiter verantwoordelijk willen zijn voor het hele werkproces versus alleen een deel ervan?</t>
  </si>
  <si>
    <t>Taakbetekenis</t>
  </si>
  <si>
    <t>De mate waarin de baan het leven van anderen beïnvloedt. De invloed kan zowel in de directe organisatie als in de externe omgeving zijn. Werknemers ervaren meer zingeving in een baan die het psychisch of fysiek welzijn van anderen aanzienlijk verbetert, dan een baan die een beperkt effect heeft op iemand anders.</t>
  </si>
  <si>
    <t>Hoe belangrijk vind je het dat je werk een merkbare invloed heeft op het leven of welzijn van anderen, binnen en/of buiten de organisatie? En in welke mate zou je idealiter willen dat jouw werk impact heeft op anderen?</t>
  </si>
  <si>
    <t>Autonomie</t>
  </si>
  <si>
    <t>De mate waarin de baan de werknemer aanzienlijke vrijheid, onafhankelijkheid en discretie biedt om het werk te plannen en de procedures in de baan te bepalen. Voor banen met een hoge mate van autonomie hangen de resultaten van het werk af van de eigen inspanningen, initiatieven en beslissingen van de werknemers. In plaats van in opdracht van een manager of een handleiding met werkprocedures. In dergelijke gevallen ervaren de werknemers een grotere persoonlijke verantwoordelijkheid voor hun eigen successen en mislukkingen op het werk.</t>
  </si>
  <si>
    <t>Hoe belangrijk vind je het om in je werk zelf te kunnen bepalen hoe en wanneer je taken uitvoert, zonder dat alles strak voorgeschreven is? En hoeveel vrijheid zou je idealiter willen hebben in het plannen en uitvoeren van je werk?</t>
  </si>
  <si>
    <t>Feedback</t>
  </si>
  <si>
    <t xml:space="preserve">De mate waarin de werknemer kennis heeft van resultaten. Dit is duidelijke, specifieke, gedetailleerde, bruikbare informatie over de effectiviteit van zijn of haar werkprestaties. Wanneer werknemers duidelijke, bruikbare informatie over hun werkprestaties ontvangen, hebben ze een betere algemene kennis van het effect van hun werkactiviteiten en welke specifieke acties ze moeten ondernemen (indien aanwezig) om hun productiviteit te verbeteren. </t>
  </si>
  <si>
    <t>Hoe belangrijk vind je het om duidelijke en bruikbare feedback te krijgen over hoe goed je je werk doet? En in welke mate zou je idealiter op de hoogte willen zijn van het effect van je werk en van punten waarop je jezelf kunt verbeteren?</t>
  </si>
  <si>
    <t>Loopbaanfasen van Donald Super</t>
  </si>
  <si>
    <t>Leeftijd</t>
  </si>
  <si>
    <t>Loopbaanfase</t>
  </si>
  <si>
    <t>15-24</t>
  </si>
  <si>
    <t>Verkenning</t>
  </si>
  <si>
    <t xml:space="preserve">Het in kaart brengen van het zelf en de werkende wereld
om het zelfbeeld te verduidelijken en de hierbij passende
beroepen vast te stellen.
</t>
  </si>
  <si>
    <t>25-44</t>
  </si>
  <si>
    <t>Keuze</t>
  </si>
  <si>
    <t xml:space="preserve">De persoon kiest, wellicht na een of twee valse starts,
voor een bepaald beroep en probeert zichzelf hierin te 
bewijzen.
</t>
  </si>
  <si>
    <t>45-64</t>
  </si>
  <si>
    <t>Onderhoud</t>
  </si>
  <si>
    <t xml:space="preserve">Belangrijk is om nu de gekozen niche vast te houden.
Dit kan lastig zijn, met name in het licht van technologische
ontwikkelingen en concurrentie van jongere collega's.
</t>
  </si>
  <si>
    <t>65 en ouder</t>
  </si>
  <si>
    <t>Terugtrekking</t>
  </si>
  <si>
    <t xml:space="preserve">Deze fase wordt gekenmerkt door een steeds minder
wordende betrokkenheid bij het werk en de neiging 
om een observerende positie in te nemen.
</t>
  </si>
  <si>
    <t>Loopbaanfasen van Levinson en Levinson</t>
  </si>
  <si>
    <t>17-21</t>
  </si>
  <si>
    <t>Overgang naar vroege volwassenheid</t>
  </si>
  <si>
    <t xml:space="preserve">Een periode waarin iemand zich een plekje in de wereld
probeert te verwerven.
</t>
  </si>
  <si>
    <t>22-28</t>
  </si>
  <si>
    <t>Toetreding tot volwassenheid</t>
  </si>
  <si>
    <t xml:space="preserve">De leeftijd van 22 tot 28 jaar is een cruciale periode waarin jonge volwassenen hun professionele identiteit vormen en belangrijke stappen zetten naar een stabiele en bevredigende carrière. Door verschillende rollen uit te proberen, vaardigheden te ontwikkelen, te netwerken en financiële en persoonlijke balans te vinden, legt men de basis voor de toekomstige loopbaan en het persoonlijke leven.
</t>
  </si>
  <si>
    <t>29-33</t>
  </si>
  <si>
    <t>Overgang voor dertigers</t>
  </si>
  <si>
    <t xml:space="preserve">Ervaringen worden geëvalueerd en men gaat op zoek
naar een voldoening schenkende levensstijl.
</t>
  </si>
  <si>
    <t>34-40</t>
  </si>
  <si>
    <t>Settelen</t>
  </si>
  <si>
    <t xml:space="preserve">De begeerde levensstijl wordt ten uitvoer gebracht. </t>
  </si>
  <si>
    <t>41-45</t>
  </si>
  <si>
    <t>Overgang naar middelbare leeftijd</t>
  </si>
  <si>
    <t xml:space="preserve">De levensstijl wordt opnieuw geëvalueerd wat vaak met
veel gevoel van urgentie en emoties gepaard gaat. 
Het betreft in dezen de zogenaamde "Mid-life" crisis.
Mensen beseffen dat ze zich op de helft van hun leven 
bevinden en gaan nadenken over wat ze met de andere
helft van hun leven willen. In de ogen van hun kinderen
zijn ze symbolen van de gevestigde orde en oud. 
De fysieke tekenen van ouderdom worden zichtbaar.
Het is nu duidelijk of de gestelde loopbaandoelen ook echt 
gehaald gaan worden. Al deze zaken kunnen tot significante
veranderingen leiden, bijvoorbeeld een nieuwe baan of 
partner. Het kan ook gebeuren dat de aanvankelijke 
loopbaankeuze wordt bevestigd, waarna men met
hernieuwde energie weer aan het werk gaat. 
</t>
  </si>
  <si>
    <t>46-50</t>
  </si>
  <si>
    <t>Toetreding tot middelbare volwassenheid</t>
  </si>
  <si>
    <t>Toepassen van en leren leven met gemaakte beslissingen.</t>
  </si>
  <si>
    <t>51-55</t>
  </si>
  <si>
    <t>Overgang voor vijftigers</t>
  </si>
  <si>
    <t>56-60</t>
  </si>
  <si>
    <t>Hoogtepunt van middelbare volwassenheid</t>
  </si>
  <si>
    <t>61-65</t>
  </si>
  <si>
    <t>Overgang voor naar late volwassenheid</t>
  </si>
  <si>
    <t>66 en ouder</t>
  </si>
  <si>
    <t>Toetreding tot de late volwassenheid</t>
  </si>
  <si>
    <t>Fase 1.1 | Wie is de cliënt? | Identificatie van de Big Five Persoonlijkheidskarakteristieken</t>
  </si>
  <si>
    <t>Beoordeling van stelling (in zijn algemeenheid) a.h.v. onderstaande criteria:</t>
  </si>
  <si>
    <t>1 = Oneens</t>
  </si>
  <si>
    <t>2 = Deels oneens</t>
  </si>
  <si>
    <t>3 = Neutraal</t>
  </si>
  <si>
    <t>4 = Deels eens</t>
  </si>
  <si>
    <t>5 = Volledig eens</t>
  </si>
  <si>
    <t>Nummer</t>
  </si>
  <si>
    <t>Stelling</t>
  </si>
  <si>
    <t>Extraversie</t>
  </si>
  <si>
    <t>Altruïsme</t>
  </si>
  <si>
    <t>Conciëntieusheid</t>
  </si>
  <si>
    <t>Neuroticisme</t>
  </si>
  <si>
    <t>Openheid</t>
  </si>
  <si>
    <t xml:space="preserve">Ik ben het middelpunt van het feest. </t>
  </si>
  <si>
    <t xml:space="preserve">Ik voel me weinig bezorgd om anderen. </t>
  </si>
  <si>
    <t xml:space="preserve">Ik ben altijd voorbereid. </t>
  </si>
  <si>
    <t xml:space="preserve">Ik raak niet snel gestrest. </t>
  </si>
  <si>
    <t xml:space="preserve">Ik heb een rijk vocabulaire. </t>
  </si>
  <si>
    <t xml:space="preserve">Ik praat niet veel. </t>
  </si>
  <si>
    <t xml:space="preserve">Ik ben oprecht geïnteresseerd in anderen. </t>
  </si>
  <si>
    <t xml:space="preserve">Ik vergeet met regelmaat mijn spullen. </t>
  </si>
  <si>
    <t xml:space="preserve">Ik ben meestal ontspannen. </t>
  </si>
  <si>
    <t xml:space="preserve">Ik heb moeite om abstracte ideeën te begrijpen. </t>
  </si>
  <si>
    <t xml:space="preserve">Ik voel me comfortabel bij mensen. </t>
  </si>
  <si>
    <t>Ik beledig mensen.</t>
  </si>
  <si>
    <t xml:space="preserve">Ik besteed aandacht aan details. </t>
  </si>
  <si>
    <t xml:space="preserve">Ik maak me niet vaak zorgen. </t>
  </si>
  <si>
    <t xml:space="preserve">Ik heb een levendige verbeelding. </t>
  </si>
  <si>
    <t xml:space="preserve">Ik blijf liever op de achtergrond. </t>
  </si>
  <si>
    <t xml:space="preserve">Ik sympathiseer met de gevoelens van anderen. </t>
  </si>
  <si>
    <t xml:space="preserve">Ik maak al snel een chaos van een situatie. </t>
  </si>
  <si>
    <t xml:space="preserve">Ik voel me vaak droevig. </t>
  </si>
  <si>
    <t xml:space="preserve">Ik ben niet geïnteresseerd in abstracte ideeën. </t>
  </si>
  <si>
    <t xml:space="preserve">Ik begin gesprekken. </t>
  </si>
  <si>
    <t xml:space="preserve">Ik ben niet geïnteresseerd in de problemen van anderen. </t>
  </si>
  <si>
    <t xml:space="preserve">Ik krijg een klus meteen gedaan. </t>
  </si>
  <si>
    <t xml:space="preserve">Ik raak niet snel afgeleid. </t>
  </si>
  <si>
    <t xml:space="preserve">Ik heb uitstekende ideeën. </t>
  </si>
  <si>
    <t>Ik heb over het algemeen weinig te zeggen.</t>
  </si>
  <si>
    <t>Ik heb een zacht hart.</t>
  </si>
  <si>
    <t>Ik vergeet vaak om objecten op de juiste plaats terug te zetten.</t>
  </si>
  <si>
    <t>Ik raak niet gemakkelijk overstuur.</t>
  </si>
  <si>
    <t>Ik heb geen goede verbeelding.</t>
  </si>
  <si>
    <t>Ik praat met veel verschillende mensen op een feest.</t>
  </si>
  <si>
    <t>Ik ben niet echt geïnteresseerd in anderen.</t>
  </si>
  <si>
    <t>Ik ben gesteld op orde.</t>
  </si>
  <si>
    <t>Mijn humeur veranderd niet vaak.</t>
  </si>
  <si>
    <t xml:space="preserve">Ik begrijp zaken snel. </t>
  </si>
  <si>
    <t>Ik houd er niet van de aandacht op mezelf te vestigen.</t>
  </si>
  <si>
    <t>Ik neem de tijd voor anderen.</t>
  </si>
  <si>
    <t>Ik onttrek me van mijn plichten.</t>
  </si>
  <si>
    <t>Ik ervaar vrijwel geen stemmingswisselingen.</t>
  </si>
  <si>
    <t>Ik gebruik moeilijke woorden.</t>
  </si>
  <si>
    <t>Ik heb er geen probleem mee om het centrum van aandacht te zijn.</t>
  </si>
  <si>
    <t>Ik voel de emoties van anderen.</t>
  </si>
  <si>
    <t>Ik volg graag schema's.</t>
  </si>
  <si>
    <t>Ik raak niet snel geïrriteerd.</t>
  </si>
  <si>
    <t>Ik besteed tijd aan het reflecteren op zaken.</t>
  </si>
  <si>
    <t>Ik ben stil rondom vreemden.</t>
  </si>
  <si>
    <t>Ik laat mensen zich op hun gemak voelen.</t>
  </si>
  <si>
    <t>Ik stel hoge eisen aan de kwaliteit van mijn werk.</t>
  </si>
  <si>
    <t>Ik voel me zelden droevig.</t>
  </si>
  <si>
    <t>Ik zit vol met ideeën.</t>
  </si>
  <si>
    <t>Score</t>
  </si>
  <si>
    <t>Formule</t>
  </si>
  <si>
    <t>1-8</t>
  </si>
  <si>
    <t>Zwak</t>
  </si>
  <si>
    <t>E = 20 + (1) ___ - (6) ___ + (11) ___ - (16) ___ + (21) ___ - (26) ___ + (31) ___ - (36) ___ + (41) ___ - (46) ___ = _____</t>
  </si>
  <si>
    <t>9-17</t>
  </si>
  <si>
    <t>Matig</t>
  </si>
  <si>
    <t>A = 14 - (2) ___ + (7) ___ - (12) ___ + (17) ___ - (22) ___ + (27) ___ - (32) ___ + (37) ___ + (42) ___ + (47) ___ = _____</t>
  </si>
  <si>
    <t>18-26</t>
  </si>
  <si>
    <t>Neutraal</t>
  </si>
  <si>
    <t>C = 14 + (3) ___ - (8) ___ + (13) ___ - (18) ___ + (23) ___ - (28) ___ + (33) ___ - (38) ___ + (43) ___ + (48) ___ = _____</t>
  </si>
  <si>
    <t>27-35</t>
  </si>
  <si>
    <t>Sterk</t>
  </si>
  <si>
    <t>N = 38 - (4) ___ + (9) ___ - (14) ___ + (19) ___ - (24) ___ - (29) ___ - (34) ___ - (39) ___ - (44) ___ - (49) ___ = _____</t>
  </si>
  <si>
    <t>35-40</t>
  </si>
  <si>
    <t>Zeer sterk</t>
  </si>
  <si>
    <t>O = 8 + (5) ___ - (10) ___ + (15) ___ - (20) ___ + (25) ___ - (30) ___ + (35) ___ + (40) ___ + (45) ___ + (50) ___ = _____</t>
  </si>
  <si>
    <t>Typering</t>
  </si>
  <si>
    <t>Big Five Model</t>
  </si>
  <si>
    <t xml:space="preserve">Mensen die hoog scoren op extraversie ervaren de behoefte om het gezelschap en de stimulering van anderen op te zoeken. Binnen groepsverband wil men veelal het middelpunt van aandacht zijn. De aandacht is dan ook extern gericht. Ze houden van opwinding, spanning en zijn energiek van aard. Ze zijn doorgaans enthousiast, assertief en optimistisch.
Mensen die daarentegen laag scoren op extraversie noemt men ook wel introvert. Een introvert is minder uitbundig en energiek dan een extravert. Men is dan ook minder betrokken bij sociale activiteiten en is meestal gereserveerd. Een introvert vereist dan ook niet de externe stimulans die extraverts nastreven.                                                                                                                                                                                                                                                                                                                                                                                                                                                                                                                                    
                                                                                                                                                                                                                                                                                                Een hoog niveau van extraversie kan van belang zijn in loopbanen die veel interactie met andere mensen vereisen, zoals public relations, het onderwijs en de commercie. Zo word extraversie  bijvoorbeeld positief gecorreleerd aan goede prestaties op het gebied van commerciële activiteiten. Posities die meer gericht zijn op zelfstandigheid zijn daarentegen beter geschikt voor personen die laag scoren op extraversie.                                                                                        
                                                                                                                                                                                                                                                                                   Extraversie staat tegenover introversie en vertoont een significante toename tussen het 33e en 42e levensjaar. 
Subdimensies 
● Hartelijkheid
● Sociabiliteit
● Dominantie
● Energie
● Avonturisme
● Vrolijkheid
</t>
  </si>
  <si>
    <t>Altruisme</t>
  </si>
  <si>
    <t xml:space="preserve">Altruïsme is de mate waarin iemand het belang van anderen boven zijn eigen belang stelt. Bij mensen die hoog scoren op altruïsme is de ander het onderwerp in de relatie. De relatie wordt dan ook vaak vanuit de ander beleefd. Ze verplaatsen zich daardoor makkelijk in een ander en bezien situaties vaak vanuit het doel van de ander. Altruïstische mensen zijn hulpvaardig, bescheiden, vriendelijk en geneigd tot samenwerken. De altruïst is van nature begaan met het welzijn van anderen en neigt naar milde oordelen.
Mensen die laag scoren op altruïsme kunnen eerder als competitief dan coöperatief beschouwd worden. Hoog scorers staan dan ook meer open voor de belangen en wensen van anderen ten opzichte van laag scorers, die dus meer uitgaan van hun eigen belang. De non-altruïst is geïnteresseerd in macht en is harder in zijn sociale opvattingen en oordelen over anderen.
Altruïsme staat tegenover vijandigheid en vertoont een significante toename tussen het 33e en 42e levensjaar. Altruïsme is verbonden met klant- en servicegerichtheid en wordt dan ook in verband gebracht met goede capaciteiten op het gebied van dienstverlening.  Altruïsme is tevens van groot belang voor kennisinnovatie binnen multidisciplinaire teams. 
Subdimensies 
● Vertrouwen 
● Oprechtheid
● Zorgzaamheid
● Inschikkelijkheid
● Bescheidenheid
● Medeleven
</t>
  </si>
  <si>
    <t xml:space="preserve">Consciëntieusheid weerspiegelt de neiging om verantwoordelijk, georganiseerd, hardwerkend en doelgericht te zijn en zich te conformeren aan normen en regels. Mensen die hoog scoren op consciëntieusheid houden zich tevens vaak aan bepaalde levensrichtlijnen. Ze zullen bijvoorbeeld volharden bij een uitdaging en verantwoordelijkheid nemen voor problemen waarmee men geconfronteerd word. Ze besteden veel aandacht aan details en plannen vaak ver vooruit. De hoeksteen van consciëntieusheid is een sterk ontwikkeld vermogen tot impulscontrole. 
Consciëntieuze personen neigen tevens naar hogere educatieve prestaties, onafhankelijk van hun cognitieve vaardigheden. Op het werk is men vaak uiterst productief, betrekt men hogere inkomens, onderhoud men betere interpersoonlijke relaties en scoort men hoger op werktevredenheid en algehele prestaties. Daarnaast bekleden consciëntieuze personen vaker leiderschapsposities.
Consciëntieusheid staat tegenover laksheid en vertoont een significante toename tussen het 33e en 42e  levensjaar. Van alle Big Five dimensies wordt consciëntieusheid het sterkst gecorreleerd aan algemene werk- en studieprestaties. Dat wil zeggen dat consciëntieusheid van alle Big Five factoren het sterkst succes in werk- en studieprestaties voorspelt. 
Subdimensies 
● Doelmatigheid
● Orderlijkheid
● Betrouwbaarheid
● Ambitie
● Zelfdiscipline
● Bedachtzaamheid
</t>
  </si>
  <si>
    <t xml:space="preserve">Personen die hoog scoren op neuroticisme ervaren meer dan gemiddeld gevoelens zoals angst, woede, frustratie, afgunst, jaloezie, schuld, depressiviteit en eenzaamheid. Mensen die neurotisch zijn, reageren dan ook slechter op stressoren, interpreteren gewone situaties eerder als bedreigend en ervaren kleine frustraties als uiterst ontmoedigend. Men is vaak zelfbewust, verlegen en kan moeite hebben met het beheersen van driften en het uitstellen van bevrediging. 
Mensen die hoog scoren op neuroticisme lopen daarnaast het risico op de ontwikkeling en het ontstaan van veel voorkomende psychische stoornissen zoals stemmingsstoornissen en angststoornissen. Tevens is men ook meer vatbaar voor coping door middel van middelengebruik. 
Mensen die laag scoren op neuroticisme zijn daarentegen emotioneel stabiel, maken zich niet snel zorgen en zijn moeilijk uit het veld te slaan. Men is tevreden met zichzelf, ontspannen en weinig emotioneel. Men heeft gewoonlijk een gelijkmatig humeur en men benadert stresssituaties rustig en zonder gespannenheid. 
Neuroticisme staat tegenover emotionele stabiliteit en vertoont een significante daling tussen het 33e en 42e levensjaar.
Subdimensies 
● Angst 
● Ergernis
● Depressie
● Schaamte 
● Impulsiviteit
● Kwetsbaarheid
</t>
  </si>
  <si>
    <t xml:space="preserve">Personen met een hoge mate aan openheid hebben een versterkte waardering voor ongewone ideeën en het esthetische zoals kunst, architectuur en mode. Ze zijn meestal fantasierijk in plaats van praktisch. Veelal is men creatief, staat men open voor nieuwe en abstracte ideeën en staat men beter in contact met de eigen emotie. Openheid wordt dan ook gekenmerkt door een nieuwsgierigheid ten opzichte van de innerlijke wereld als de buitenwereld. Hun ervaringswereld is daardoor rijker en gevarieerder dan die van personen die laag scoren op openheid. Personen die hoog scoren op openheid conformeren zich bij voorbaat niet aan de aanwezige regels, procedures, gewoonten en uitgangspunten van hun omgeving.  
                                                                                                                                                                                                                                                                                                  Personen die lager scoren in openheid zijn over het algemeen meer gesloten, nemen zaken meer letterlijk en hebben een voorkeur voor routine en voorspelbaarheid. Personen die laag scoren op openheid neigen naar conventioneel gedrag en conservatieve opvattingen. Ze verkiezen het vertrouwde boven het nieuwe, zijn praktisch, nuchter en houden zich het liefst bezig met de feiten in het hier en nu.
Een hoge mate van openheid is belangrijk in loopbanen die creatief denken en een flexibele instelling vereisen. Loopbanen in de reclame, wetenschappelijk onderzoek en artistieke beroepen profiteren van een hoge mate aan openheid. In combinatie met een hoge mate aan consciëntieusheid  draagt ook een hoge mate aan openheid bij aan goede prestaties in studie en werk. Openstaan voor nieuwe ervaringen wordt dan ook positief gecorreleerd aan opleidings- en trainingsprestaties.
Openheid voor nieuwe ervaringen staat tegenover geslotenheid en vertoont een significante toename tussen het 33e en 42e levensjaar. 
Subdimensies
● Fantasie
● Esthetiek
● Gevoelens
● Veranderbaarheid
● Ideeën
● Waarden
</t>
  </si>
  <si>
    <t>Fase 2.0 | Wat wil de cliënt? | Identificatie van de loopbaanwaarden</t>
  </si>
  <si>
    <t>Beoordeling van stelling a.h.v. onderstaande criteria:</t>
  </si>
  <si>
    <t xml:space="preserve">Met welke stelling kan cliënt zich het sterkst identificeren? </t>
  </si>
  <si>
    <t>Omhoog | V</t>
  </si>
  <si>
    <t>Veilig | W</t>
  </si>
  <si>
    <t>Vrij | X</t>
  </si>
  <si>
    <t>Balans | Y</t>
  </si>
  <si>
    <t>Uitdaging | Z</t>
  </si>
  <si>
    <t xml:space="preserve">V: Graag wil ik het voor mezelf en voor anderen dusdanig regelen dat 
succes verzekerd is.
</t>
  </si>
  <si>
    <t>X: Ik houd me binnen een werksituatie het liefst bezig met mijn eigen zaken.</t>
  </si>
  <si>
    <t xml:space="preserve">Y: Binnen het werk moet er tijd zijn voor zaken die jezelf belangrijk
vindt en moet er gelegenheid zijn om zinvolle relaties te cultiveren.
</t>
  </si>
  <si>
    <t>V: Vooruitkomen is voor mij belangrijker dan persoonlijke behoeften.</t>
  </si>
  <si>
    <t xml:space="preserve">W: Ik werk graag in een omgeving waar hard werken, loyaliteit en
toewijding gewaardeerd wordt.
</t>
  </si>
  <si>
    <t xml:space="preserve">X: Ik houd van een werksituatie waar ik mijn eigen doelen kan
bepalen, ze kan bereiken op mijn eigen manier en op mijn
eigen tempo.
</t>
  </si>
  <si>
    <t>V: Ik ben strijdlustig, kan goed analyseren en met mensen omgaan.</t>
  </si>
  <si>
    <t xml:space="preserve">Y: Ik kan goed mijn evenwicht bewaren tussen de eisen van mijn werk
en die van mijn privé-leven.
</t>
  </si>
  <si>
    <t>X: Ik wil onafhankelijk werken.</t>
  </si>
  <si>
    <t xml:space="preserve">W: Ik houd ervan me een vertegenwoordiger te voelen van een
groter geheel.
</t>
  </si>
  <si>
    <t xml:space="preserve">Z: Ik houd ervan als consultant of probleemoplosser te werken en
me dusdanig te profileren door middel van een opwindend project.
</t>
  </si>
  <si>
    <t xml:space="preserve">V: Ik houd ervan in een situatie te werken waarin ik de leiding
heb en verantwoordelijk ben voor het bereiken van bepaalde
doelen.
</t>
  </si>
  <si>
    <t xml:space="preserve">Y: Mijn echtgenoot/partner is net zo belangrijk voor mij als mijn
loopbaan.
</t>
  </si>
  <si>
    <t xml:space="preserve">Z: Mijn echtgenoot/partner verdwijnt naar de achtergrond als ik
midden in een zeer opwindend project zit.
</t>
  </si>
  <si>
    <t>X: Het allerbelangrijkst voor mij is vrijheid.</t>
  </si>
  <si>
    <t>Y: Het allerbelangrijkst voor mij is een doel in mijn leven.</t>
  </si>
  <si>
    <t>W: Ik ben bekwaam, loyaal, betrouwbaar en ik werk hard.</t>
  </si>
  <si>
    <t xml:space="preserve">V: Ik ben sociaal in de omgang, een goede leider en een goede
organisator.
</t>
  </si>
  <si>
    <t>X: Ik ben onafhankelijk.</t>
  </si>
  <si>
    <t>Y: Ik ben evenwichtig.</t>
  </si>
  <si>
    <t>Z: Ik ben iemand die in actie komt door opwindende projecten.</t>
  </si>
  <si>
    <t>V: Ik ben iemand die graag met anderen wedijvert.</t>
  </si>
  <si>
    <t>Y: Ik ben iemand die genuanceerd over zaken nadenkt.</t>
  </si>
  <si>
    <t>V: Ik ben ambitieus en iemand die graag met anderen wedijvert.</t>
  </si>
  <si>
    <t>X: Ik heb veel zelfvertrouwen en ben in staat mezelf te redden.</t>
  </si>
  <si>
    <t>Z: Ik heb veel fantasie en enthousiasme.</t>
  </si>
  <si>
    <t>W: Ik ben stabiel en vasthoudend.</t>
  </si>
  <si>
    <t>X: Ik ben onafhankelijk en in staat een eigen koers te bepalen.</t>
  </si>
  <si>
    <t>V: Ik ben iemand die goed kan plannen en organiseren.</t>
  </si>
  <si>
    <t xml:space="preserve">Z: Ik ben iemand die situaties analyseert en creatieve, nieuwe
oplossingen ontwikkelt.
</t>
  </si>
  <si>
    <t>Z: Ik ben een expert op mijn terrein.</t>
  </si>
  <si>
    <t>W: Ik ben een betrouwbaar en degelijk persoon.</t>
  </si>
  <si>
    <t xml:space="preserve">W: Ik ben iemand die wil werken volgens vaststaande procedures.
</t>
  </si>
  <si>
    <t xml:space="preserve">Y: Ik ben iemand die probeert de doelen in het werk in overeenstemming
te brengen met wat ik persoonlijk nastreef.
</t>
  </si>
  <si>
    <t>X: Een persoonlijk doel is om mijn eigen lot te bepalen.</t>
  </si>
  <si>
    <t xml:space="preserve">Y: Een persoonlijk doel is om mijn werk niet te verweven met mijn
privé-leven.
</t>
  </si>
  <si>
    <t xml:space="preserve">W: Ik vind het belangrijk een veilige baan te hebben en het gevoel
te hebben erbij te horen.
</t>
  </si>
  <si>
    <t xml:space="preserve">Y: Ik vind het belangrijk om tijd te kunnen besteden aan mijn
privé-leven en hobby’s.
</t>
  </si>
  <si>
    <t xml:space="preserve">V: Ik geef de voorkeur aan een carrière waarin veel promotiekansen
voorhanden zijn.
</t>
  </si>
  <si>
    <t xml:space="preserve">Z: Ik geef er de voorkeur aan om in staat gesteld te worden uitdagende
problemen en taken aan te pakken.
</t>
  </si>
  <si>
    <t xml:space="preserve">V: Ik ben graag in een werksituatie waar invloed uitgeoefend kan
worden.
</t>
  </si>
  <si>
    <t xml:space="preserve">W: Ik waardeer een baan waar je langere tijd kunt blijven werken
en waar ik gewaardeerd en geaccepteerd wordt.
</t>
  </si>
  <si>
    <t xml:space="preserve">V: Ik denk dat de juiste mensen kennen en goede vrienden maken
belangrijk is om vooruit te komen.
</t>
  </si>
  <si>
    <t>Y: Ik denk dat het essentieel is om interessegebieden te ontwikkelen.</t>
  </si>
  <si>
    <t xml:space="preserve">Y: Voor mij geldt als basis het scheppen van een evenwicht tussen
mijn privé-leven en mijn werk.
</t>
  </si>
  <si>
    <t xml:space="preserve">W: Voor mij geldt als basis stabiliteit, waardering en een veilige
plaats binnen mijn werksituatie.
</t>
  </si>
  <si>
    <t xml:space="preserve">X: Ik denk dat ik graag een positie zou willen hebben met een
maximum aan zelfstandigheid.
</t>
  </si>
  <si>
    <t xml:space="preserve">V: Ik denk dat ik graag tot "de kring van ingewijden" zou willen
behoren.
</t>
  </si>
  <si>
    <t xml:space="preserve">W: Voor mij geldt als basis stabiliteit, waardering en een veilige
plaats op het werk.
</t>
  </si>
  <si>
    <t>V: Als basis geldt voor mij dat ik vooruit wil komen in de werkomgeving.</t>
  </si>
  <si>
    <t xml:space="preserve">V: Ik denk dat geld, macht en aanzien een belangrijke maatstaf
zijn van een succesvolle loopbaan.
</t>
  </si>
  <si>
    <t xml:space="preserve">Y: Ik denk dat een loopbaan succesvol is als je evenveel tijd hebt
voor het werk, het gezin en je eigen ontwikkeling.
</t>
  </si>
  <si>
    <t>Z: Ik wil liever uitblinken op mijn gebied.</t>
  </si>
  <si>
    <t>W: Ik wil liever beschouwd worden als betrouwbaar en loyaal.</t>
  </si>
  <si>
    <t xml:space="preserve">W: Ik geef de voorkeur aan het werken met een team op lange termijn
en een hechte basis.
</t>
  </si>
  <si>
    <t xml:space="preserve">Z: Ik geef de voorkeur aan het werken met een taakgerichte of projectgroep
op korte termijn basis en in een hoog tempo.
</t>
  </si>
  <si>
    <t xml:space="preserve">Z: Ik geef de voorkeur aan professionele ontwikkeling en permanente
training.
</t>
  </si>
  <si>
    <t xml:space="preserve">X: Ik geef de voorkeur aan professionele ontwikkeling om een expert te 
worden en om meer flexibiliteit en onafhankelijkheid te verkrijgen.
</t>
  </si>
  <si>
    <t xml:space="preserve">Y: Ik geef de voorkeur aan een werksituatie die een evenwicht garandeert
tussen mijn privé-leven en mijn werk.
</t>
  </si>
  <si>
    <t xml:space="preserve">Z: Ik geef de voorkeur aan een werksituatie die opwindend is en
mij stimuleert.
</t>
  </si>
  <si>
    <t>Totaal score</t>
  </si>
  <si>
    <t>Loopbaananker</t>
  </si>
  <si>
    <t>Omhoog komen</t>
  </si>
  <si>
    <t>Deze op opwaartse mobiliteit gerichte loopbaanoriëntatie wordt gewoonlijk geassocieerd met het vooruitkomen in een hiërarchische en/of statusgevoelige organisatie. Het verwerven van steeds meer invloed speelt in deze kaders een grote rol. Prestige en beloning nemen bij iedere opwaartse beweging toe.</t>
  </si>
  <si>
    <t>Veilig voelen</t>
  </si>
  <si>
    <t>Sommige personen hebben behoefte aan een veilige baan in een duidelijke organisatie die vooral gekenmerkt wordt door orde en rust. Zij geven de voorkeur aan een lang en vast dienstverband, erkenning en appreciatie door de werkgever. In ruil daarvoor bieden ze een loyale en toegewijde instelling en zijn ze niet bang om hard te werken. Onderling respect, wederkerigheid en loyaliteit karakteriseren de werkhouding.</t>
  </si>
  <si>
    <t>Vrij zijn</t>
  </si>
  <si>
    <t>Personen met deze loopbaanoriëntatie zijn er op uit hun grenzen te verkennen. De nadruk ligt bij hen meer op het verwerven van persoonlijke autonomie, ruimte en verantwoordelijkheid voor het bereiken van resultaten dan op gebondenheid, zekerheid en vaste regels. Men is bereid zeer hard te werken als daar gunstige voorwaarden tegenover staan in de sfeer van onafhankelijkheid en zelfcontrole. Interessant werk is belangrijk maar individuele vrijheid is het uiteindelijke doel.</t>
  </si>
  <si>
    <t>Balans vinden</t>
  </si>
  <si>
    <t>De meeste mensen streven naar evenwicht maar zelden vormt dit het basis uitgangspunt voor hun loopbaanbeslissingen. Sommige mensen zoeken echter een optimaal evenwicht tussen werk, privé-leven en zelfontwikkeling. Het werk vormt voor hen slechts één dimensie van hun totale levensvervulling. De aandacht voor werk en privé-leven kan verschillen afhankelijk van de situatie waarin personen met deze loopbaanoriëntatie zich bevinden. Individuen die de kwaliteit van het leven hoog in het vaandel dragen, vallen dikwijls in deze categorie.</t>
  </si>
  <si>
    <t>Uitdaging zoeken</t>
  </si>
  <si>
    <t>Deze loopbaanoriëntatie wordt gekenmerkt door de behoefte aan opwinding en uitdaging en een sterke betrokkenheid bij het werk. Men is er op gericht dichtbij het centrum van actie, avontuur en creativiteit te zijn en heeft er zeer veel moeite mee zich van het werk los te maken. Een bureaucratische organisatie wordt als bijzonder remmend ervaren. Autonomie is belangrijk maar het belangrijkste is opwindend en uitdagend werk.</t>
  </si>
  <si>
    <t xml:space="preserve">Fase 2.1 | Wat wil de cliënt? | Identificatie van Carriere Clusters </t>
  </si>
  <si>
    <t>Cliënt kan zich met de stelling identificeren: 1 | Cliënt kan zich niet met de stelling identificeren: Geen entry</t>
  </si>
  <si>
    <t>Cluster</t>
  </si>
  <si>
    <t>Activiteiten die beschrijven wat cliënt leuk vind om te doen:</t>
  </si>
  <si>
    <t>Competenties</t>
  </si>
  <si>
    <t>Educatieve onderwerpen</t>
  </si>
  <si>
    <t>Segment</t>
  </si>
  <si>
    <t>1. Leren hoe flora en fauna groeit en in leven blijft.</t>
  </si>
  <si>
    <t>1. Zelfredzaam</t>
  </si>
  <si>
    <t>1. Wiskunde</t>
  </si>
  <si>
    <t>Landbouw, voeding en natuurlijke grondstoffen</t>
  </si>
  <si>
    <t>De productie, verwerking, marketing, distributie, financiering en
ontwikkeling van agrarische grondstoffen en hulpbronnen waaronder voedsel, vezels, houtproducten, natuurlijke hulpbronnen, tuinbouw, en andere plantaardige en dierlijke producten cq. hulpbronnen.</t>
  </si>
  <si>
    <t>2. Het zo optimaal mogelijk gebruik maken van de natuurlijke grondstoffen van de aarde.</t>
  </si>
  <si>
    <t>2. Natuurliefhebber</t>
  </si>
  <si>
    <t>2. Beheer van natuurlijke grondstoffen</t>
  </si>
  <si>
    <t>3. Jagen en/of vissen.</t>
  </si>
  <si>
    <t>3. Fysiek actief</t>
  </si>
  <si>
    <t>3. Aardrijkskunde</t>
  </si>
  <si>
    <t>4. Het beschermen van het milieu.</t>
  </si>
  <si>
    <t>4. Planner</t>
  </si>
  <si>
    <t>4. Scheikunde</t>
  </si>
  <si>
    <t>5. Buiten zijn in allerlei weersomstandigheden.</t>
  </si>
  <si>
    <t>5. Creatieve probleemoplosser</t>
  </si>
  <si>
    <t>5. Landbouw</t>
  </si>
  <si>
    <t>6. Plannen, budgetteren en registraties bijhouden.</t>
  </si>
  <si>
    <t>7. Het bedienen van machines en deze in goede conditie houden.</t>
  </si>
  <si>
    <t>1. Het lezen en volgen van blauwdrukken en/of instructies.</t>
  </si>
  <si>
    <t>1. Nieuwsgierig</t>
  </si>
  <si>
    <t>1. Calculeren</t>
  </si>
  <si>
    <t>Architectuur en constructie</t>
  </si>
  <si>
    <t>Carrières bij het ontwerpen, plannen, beheren, bouwen en behoud van de gebouwde omgeving.</t>
  </si>
  <si>
    <t>2. Inbeelden hoe een afgewerkt product eruit zal zien.</t>
  </si>
  <si>
    <t>2. Het verstrekken van duidelijke instructies</t>
  </si>
  <si>
    <t>2. Technisch tekenen</t>
  </si>
  <si>
    <t>3. Werken met de handen.</t>
  </si>
  <si>
    <t>3. Aandacht besteden aan details</t>
  </si>
  <si>
    <t>3. Exacte wetenschappen</t>
  </si>
  <si>
    <t>4. Het uitvoeren van werkzaamheden die nauwkeurige resultaten vereisen.</t>
  </si>
  <si>
    <t>4. Goed in het visualiseren van mogelijkheden</t>
  </si>
  <si>
    <t>4. Architectuur</t>
  </si>
  <si>
    <t>5. Het oplossen van technische problemen.</t>
  </si>
  <si>
    <t>5. Geduldig en persistent</t>
  </si>
  <si>
    <t xml:space="preserve">5. Elektrische warmtebronnen,
Airconditioning en koeltechniek
</t>
  </si>
  <si>
    <t>6. Het bezoeken en onderzoeken van mooie, historische en/of interessante gebouwen.</t>
  </si>
  <si>
    <t>7. Het opvolgen van logische en stapsgewijze procedures.</t>
  </si>
  <si>
    <t>1. Het gebruik van verbeeldingskracht om informatie naar anderen te communiceren.</t>
  </si>
  <si>
    <t>1. Creatief en fantasierijk</t>
  </si>
  <si>
    <t>1. Kunst en grafisch ontwerp</t>
  </si>
  <si>
    <t>Kunst, audio- visuele technologie en communicatie</t>
  </si>
  <si>
    <t>Ontwerpen, produceren, vertonen, uitvoeren, schrijven en publiceren van multimedia-inhoud waaronder visuele en podiumkunsten, design, journalistiek en entertainmentdiensten.</t>
  </si>
  <si>
    <t>2. Klaar staan voor anderen.</t>
  </si>
  <si>
    <t>2. Goede communicator</t>
  </si>
  <si>
    <t>2. Muziek</t>
  </si>
  <si>
    <t>3. Lezen en schrijven.</t>
  </si>
  <si>
    <t>3. Benieuwd naar nieuwe technologie</t>
  </si>
  <si>
    <t>3. Spraak en drama</t>
  </si>
  <si>
    <t>4. Het bespelen van een muziekinstrument.</t>
  </si>
  <si>
    <t>4. Symphatisch en emphatisch</t>
  </si>
  <si>
    <t>4. Journalistiek en literatuur</t>
  </si>
  <si>
    <t>5. Het uitvoeren van creatieve en/of artistieke activiteiten.</t>
  </si>
  <si>
    <t>5. Bepalend en vasthoudend</t>
  </si>
  <si>
    <t>5. Audiovisuele technologie</t>
  </si>
  <si>
    <t>6. Het gebruik van video- en opnametechnologie.</t>
  </si>
  <si>
    <t>7. Het ontwerpen van brochures en posters.</t>
  </si>
  <si>
    <t xml:space="preserve">1. Het uitvoeren van routine en/of georganiseerde activiteiten maar ook flexibel kunnen zijn. </t>
  </si>
  <si>
    <t>1. Georganiseerd</t>
  </si>
  <si>
    <t>1. ICT</t>
  </si>
  <si>
    <t>Business Management en administratie</t>
  </si>
  <si>
    <t>Business Management en administratie loopbaan omvatten het plannen, organiseren, leiden en evalueren van zakelijke functies essentieel voor efficiënte en productieve bedrijfsactiviteiten. Management en administratie carrièremogelijkheden zijn beschikbaar in elke sector van de economie.</t>
  </si>
  <si>
    <t>2. Werken met getallen en gedetailleerde informatie.</t>
  </si>
  <si>
    <t>2. Praktisch en logisch</t>
  </si>
  <si>
    <t>2. Boekhouding</t>
  </si>
  <si>
    <t>3. Een leider zijn in een groep.</t>
  </si>
  <si>
    <t>3. Geduldig</t>
  </si>
  <si>
    <t>3. Kostprijs berekeningen</t>
  </si>
  <si>
    <t>4. Zakelijk contact maken met mensen.</t>
  </si>
  <si>
    <t>4. Tactvol</t>
  </si>
  <si>
    <t>4. Engels</t>
  </si>
  <si>
    <t>5. Werken met computerprogramma's.</t>
  </si>
  <si>
    <t>5. Verantwoordelijk</t>
  </si>
  <si>
    <t>5. Economie</t>
  </si>
  <si>
    <t>6. Het maken van rapporten en het communiceren van ideeën.</t>
  </si>
  <si>
    <t>7. Het plannen van werk en het volgen van instructies</t>
  </si>
  <si>
    <t>1. Communiceren met verschillende soorten mensen.</t>
  </si>
  <si>
    <t>1. Vriendelijk</t>
  </si>
  <si>
    <t>1. Taalvaardigheid</t>
  </si>
  <si>
    <t>Educatie en training</t>
  </si>
  <si>
    <t>Planning, beheer en verstrekking van onderwijs- en opleidingsdiensten en gerelateerde ondersteuningsdiensten.</t>
  </si>
  <si>
    <t>2. Anderen helpen met hun huiswerk of met het leren beheersen van nieuwe onderwerpen.</t>
  </si>
  <si>
    <t>2. Beslisser</t>
  </si>
  <si>
    <t>2. Sociale studies</t>
  </si>
  <si>
    <t>3. Naar school gaan.</t>
  </si>
  <si>
    <t>3. Nuttig</t>
  </si>
  <si>
    <t>3. Pedagogiek</t>
  </si>
  <si>
    <t>4. Het leiden en plannen van activiteiten voor anderen.</t>
  </si>
  <si>
    <t>4. Innovatief en nieuwsgierig</t>
  </si>
  <si>
    <t>4. Wetenschap</t>
  </si>
  <si>
    <t>5. Het uitdragen van meerdere verantwoordelijkheden tegelijk.</t>
  </si>
  <si>
    <t>5. Goede luisteraar</t>
  </si>
  <si>
    <t>5. Psychologie</t>
  </si>
  <si>
    <t>6. Het verkrijgen van nieuwe informatie.</t>
  </si>
  <si>
    <t>7. Mensen helpen om hun uitdagingen te overwinnen.</t>
  </si>
  <si>
    <t>1. Werken met cijfers.</t>
  </si>
  <si>
    <t>1. Betrouwbaar</t>
  </si>
  <si>
    <t>1. Belastingen</t>
  </si>
  <si>
    <t>Financiën</t>
  </si>
  <si>
    <t>Planning, services voor financiële en investeringsplanning, bankieren, verzekeringen en bedrijfsfinancieel beheer.</t>
  </si>
  <si>
    <t>2. Werken om een deadline te halen.</t>
  </si>
  <si>
    <t>2. Orderlijk</t>
  </si>
  <si>
    <t>2. Wiskunde</t>
  </si>
  <si>
    <t>3. Het maken van voorspellingen op basis van bestaande feiten.</t>
  </si>
  <si>
    <t>3. Zelfverzekerd</t>
  </si>
  <si>
    <t>3. Economie</t>
  </si>
  <si>
    <t>4. Zorgen voor een kader van regels en procedures.</t>
  </si>
  <si>
    <t>4. Logisch</t>
  </si>
  <si>
    <t>4. Financiële administratie</t>
  </si>
  <si>
    <t>5. Het analyseren en interpreteren van financiële informatie voor anderen.</t>
  </si>
  <si>
    <t>5. Methodisch en efficiënt</t>
  </si>
  <si>
    <t>5. Ondernemingsrecht</t>
  </si>
  <si>
    <t>6. Het met nauwkeurigheid en betrouwbaarheid behandelen van financiën.</t>
  </si>
  <si>
    <t xml:space="preserve">7. Trots zijn op de manier waarop je je kleedt en presenteert. </t>
  </si>
  <si>
    <t>1. Betrokken zijn in de politiek.</t>
  </si>
  <si>
    <t>1. Goede communicator</t>
  </si>
  <si>
    <t>1. Politiek</t>
  </si>
  <si>
    <t>Overheid en publieke administratie</t>
  </si>
  <si>
    <t>Het uitvoeren van overheidsfuncties om governance op te nemen. Denkende aan nationale veiligheid, buitenlandse dienst, planning, inkomsten en belastingen, regulatie en beheer en administratie bij de lokale staat en federale niveaus.</t>
  </si>
  <si>
    <t xml:space="preserve">2. Het onderhandelen, verdedigen en/of bespreken van ideeën en onderwerpen. </t>
  </si>
  <si>
    <t>2. Concurrerend</t>
  </si>
  <si>
    <t>2. Taalvaardigheid</t>
  </si>
  <si>
    <t xml:space="preserve">3. Het plannen van activiteiten en samenwerken met anderen. </t>
  </si>
  <si>
    <t>3. Service georiënteerd</t>
  </si>
  <si>
    <t>3. Nederlandse geschiedenis</t>
  </si>
  <si>
    <t>4. Werken met details.</t>
  </si>
  <si>
    <t>4. Goed georganiseerd</t>
  </si>
  <si>
    <t>4. Calculeren</t>
  </si>
  <si>
    <t>5. Het uitvoeren van taken die vaak kunnen veranderen.</t>
  </si>
  <si>
    <t>5. Probleemoplosser</t>
  </si>
  <si>
    <t>5. Vreemde talen</t>
  </si>
  <si>
    <t xml:space="preserve">6. Het analyseren en interpreteren van informatie voor anderen. </t>
  </si>
  <si>
    <t xml:space="preserve">7. Reizen en nieuwe dingen ontdekken. </t>
  </si>
  <si>
    <t>1. Werken onder druk.</t>
  </si>
  <si>
    <t>1. Emphatisch en zorgzaam</t>
  </si>
  <si>
    <t>1. Biologische wetenschappen</t>
  </si>
  <si>
    <t>Gezondheidswetenschappen</t>
  </si>
  <si>
    <t>Planning, beheer en levering van therapeutische diensten, diagnostisch diensten, medische informatica, ondersteunende diensten en biotechnologie onderzoek en ontwikkeling.</t>
  </si>
  <si>
    <t>2. Het helpen van zieke mensen en/of dieren.</t>
  </si>
  <si>
    <t>2. Chemie</t>
  </si>
  <si>
    <t>3. Beslissingen nemen op basis van logica en informatie.</t>
  </si>
  <si>
    <t>3. Zorgvuldig en voorzichtig</t>
  </si>
  <si>
    <t>3. Biometrie</t>
  </si>
  <si>
    <t>4. Deelnemen aan gezondheid- en wetenschaplessen.</t>
  </si>
  <si>
    <t>4. Geduldig</t>
  </si>
  <si>
    <t>4. Gezondheid op het werk</t>
  </si>
  <si>
    <t>5. Snel reageren en rustig blijven in noodsituaties.</t>
  </si>
  <si>
    <t>5. Spelling en grammatica</t>
  </si>
  <si>
    <t>6. Werken als lid van een team.</t>
  </si>
  <si>
    <t>7. Het nauwkeurig volgen van richtlijnen en het voldoen aan strikte normen voor nauwkeurigheid.</t>
  </si>
  <si>
    <t>1. Onderzoek doen naar nieuwe plaatsen en activiteiten.</t>
  </si>
  <si>
    <t>1. Tactvol</t>
  </si>
  <si>
    <t>1. Nederlands</t>
  </si>
  <si>
    <t>Hospitality en toerisme</t>
  </si>
  <si>
    <t>Hospitality en toerisme omvat het management, marketing en activiteiten van restaurants en andere eetgelegenheden, logies, attracties en recreatie-evenementen en reisgerelateerde diensten.</t>
  </si>
  <si>
    <t>2. Werken met alle leeftijden en alle soorten mensen.</t>
  </si>
  <si>
    <t>2. Zelfgemotiveerd</t>
  </si>
  <si>
    <t>2. Vreemde talen</t>
  </si>
  <si>
    <t>3. Het organiseren van activiteiten waarbij andere mensen zich amuseren.</t>
  </si>
  <si>
    <t>3. Samenwerkend</t>
  </si>
  <si>
    <t>3. Sociale wetenschappen</t>
  </si>
  <si>
    <t>4. Het hanteren van een flexibel schema.</t>
  </si>
  <si>
    <t>4. Ondernemend</t>
  </si>
  <si>
    <t>4. Marketing</t>
  </si>
  <si>
    <t xml:space="preserve">5. Mensen helpen om besluiten te nemen. </t>
  </si>
  <si>
    <t>5. Tolerant</t>
  </si>
  <si>
    <t>5. Voeding</t>
  </si>
  <si>
    <t>6. Eenvoudig, tactvol en hoffelijk communiceren.</t>
  </si>
  <si>
    <t>7. Informatie verzamelen over andere culturen.</t>
  </si>
  <si>
    <t>1. Zorgen voor mensen, hun behoeften en hun problemen.</t>
  </si>
  <si>
    <t xml:space="preserve">1. Goede communicator </t>
  </si>
  <si>
    <t>Humanitaire dienstverlening</t>
  </si>
  <si>
    <t>Individuen voorbereiden op een baan in loopbaantrajecten en betrekking hebben op gezinnen en menselijke behoeften.</t>
  </si>
  <si>
    <t>2. Deelnemen aan gemeenschapsdiensten en/of vrijwilligerswerk.</t>
  </si>
  <si>
    <t>2. Zorgzaam</t>
  </si>
  <si>
    <t>2. Psychologie en sociologie</t>
  </si>
  <si>
    <t>3. Luisteren naar de perspectieven van anderen.</t>
  </si>
  <si>
    <t>3. Non-materialistisch</t>
  </si>
  <si>
    <t>3. Familie- en consumentenwetenschap</t>
  </si>
  <si>
    <t>4. Mensen helpen op hun best te zijn.</t>
  </si>
  <si>
    <t>4. Gebruik van intuïtie en logica</t>
  </si>
  <si>
    <t>4. Financiën</t>
  </si>
  <si>
    <t>5. Werken met mensen van jong tot oud.</t>
  </si>
  <si>
    <t>5. Niet-oordelend</t>
  </si>
  <si>
    <t>6. Denken aan nieuwe manieren om dingen te doen.</t>
  </si>
  <si>
    <t>7. Vrienden maken met verschillende soorten mensen.</t>
  </si>
  <si>
    <t>1. Werken met computers.</t>
  </si>
  <si>
    <t>1. Logische en analytische denker</t>
  </si>
  <si>
    <t>ICT</t>
  </si>
  <si>
    <t>Verbanden leggen in een IT-beroepskader voor instapniveau, technische en professionele loopbanen gerelateerd aan het ontwerp, ontwikkeling, ondersteuning en beheer van hardware, software, multimedia- en systeemintegratiediensten.</t>
  </si>
  <si>
    <t>2. Logisch redeneren om complexe problemen op te lossen.</t>
  </si>
  <si>
    <t>2. Helicopter view</t>
  </si>
  <si>
    <t>2. Wetenschap</t>
  </si>
  <si>
    <t>3. Het gebruiken van machines, technieken en processen.</t>
  </si>
  <si>
    <t>3. Persistent</t>
  </si>
  <si>
    <t xml:space="preserve">3. Computertechnologie </t>
  </si>
  <si>
    <t>4. Het lezen van technische handleidingen en diagrammen en het oplossen van technische problemen.</t>
  </si>
  <si>
    <t>4. Goede concentratievaardigheden</t>
  </si>
  <si>
    <t>4. Communicatie</t>
  </si>
  <si>
    <t>5. Aanpassen aan verandering.</t>
  </si>
  <si>
    <t xml:space="preserve">5. Nauwkeurig </t>
  </si>
  <si>
    <t>5. Grafisch ontwerp</t>
  </si>
  <si>
    <t xml:space="preserve">6. Het spelen van videogames en uitzoeken hoe deze werken. </t>
  </si>
  <si>
    <t>7. Gedurende lange perioden concentreren zonder te zijn afgeleid.</t>
  </si>
  <si>
    <t>1. Werken onder druk of in de aanwezigheid van gevaar.</t>
  </si>
  <si>
    <t>1. Avontuurlijk</t>
  </si>
  <si>
    <t>Publieke veiligheid en zekerheid</t>
  </si>
  <si>
    <t>Planning, beheer en verstrekking van wettelijke, openbare veiligheid, beschermende diensten en binnenlandse veiligheid inclusief professionele en technische ondersteuningsdiensten.</t>
  </si>
  <si>
    <t>2. Beslissingen maken op basis van observaties.</t>
  </si>
  <si>
    <t>2. Betrouwbaar</t>
  </si>
  <si>
    <t>3. Communiceren met andere mensen.</t>
  </si>
  <si>
    <t>3. Gemeenschapsgericht</t>
  </si>
  <si>
    <t>3. Overheid en geschiedenis</t>
  </si>
  <si>
    <t>4. Een positie van autoriteit hebben.</t>
  </si>
  <si>
    <t>4. Doorslaggevend</t>
  </si>
  <si>
    <t>4. Rechtshandhaving</t>
  </si>
  <si>
    <t>5. Het respecteren van regels en voorschriften.</t>
  </si>
  <si>
    <t>5. Optimistisch</t>
  </si>
  <si>
    <t>5. EHBO</t>
  </si>
  <si>
    <t>6. Debatteren en het winnen van argumenten.</t>
  </si>
  <si>
    <t>7. Het observeren en analyseren van het gedrag van mensen.</t>
  </si>
  <si>
    <t xml:space="preserve">1. Werken met de handen en op de manier leren. </t>
  </si>
  <si>
    <t>1. Praktisch</t>
  </si>
  <si>
    <t>1. Wiskunde en geometrie</t>
  </si>
  <si>
    <t>Fabricage</t>
  </si>
  <si>
    <t>Planning, beheer en uitvoering van de verwerking van materialen in tussentijdse of eindproducten en aanverwante professionele en technische ondersteuningsactiviteiten zoals productieplanning en controle, onderhoud en productie / procestechniek.</t>
  </si>
  <si>
    <t>2. Concepten samenvoegen.</t>
  </si>
  <si>
    <t>2. Observerend</t>
  </si>
  <si>
    <t>3. Het uitvoeren van routinematig, georganiseerd en nauwkeurig werk.</t>
  </si>
  <si>
    <t>3. Handel en industrie</t>
  </si>
  <si>
    <t>4. Het uitvoeren van activiteiten die tastbare producten opleveren.</t>
  </si>
  <si>
    <t>4. Stapsgewijze denker</t>
  </si>
  <si>
    <t>4. Natuurkunde</t>
  </si>
  <si>
    <t>5. Wiskunde toepassen om oplossingen uit te werken.</t>
  </si>
  <si>
    <t>5. Gecoördineerd</t>
  </si>
  <si>
    <t>5. Taalvaardigheid</t>
  </si>
  <si>
    <t xml:space="preserve">6. Het gebruiken van hand- en elektrisch gereedschap, werkuitrusting en machines. </t>
  </si>
  <si>
    <t>7. Het visualiseren van objecten in drie dimensies vanuit een vlakke tekening.</t>
  </si>
  <si>
    <t>1. Winkelen en naar het winkelcentrum gaan.</t>
  </si>
  <si>
    <t>1. Enthousiast</t>
  </si>
  <si>
    <t>Marketing, sales en service</t>
  </si>
  <si>
    <t>Planning, beheer en uitvoering van marketingactiviteiten ten behoeve van het bereiken van organisatorische doelstellingen.</t>
  </si>
  <si>
    <t xml:space="preserve">2. De baas zijn. </t>
  </si>
  <si>
    <t>2. Marketing</t>
  </si>
  <si>
    <t>3. Het maken van reclameschermen en het promoten van ideeën.</t>
  </si>
  <si>
    <t>3. Creatief</t>
  </si>
  <si>
    <t>3. Bedrijfseconomie</t>
  </si>
  <si>
    <t>4. Het geven van presentaties en het toespreken van publiek.</t>
  </si>
  <si>
    <t>4. Zelfgemotiveerd</t>
  </si>
  <si>
    <t xml:space="preserve">4. Order to cash </t>
  </si>
  <si>
    <t xml:space="preserve">5. Mensen overtuigen om producten te kopen of om deel te nemen aan promotie activiteiten. </t>
  </si>
  <si>
    <t>5. Overtuigend</t>
  </si>
  <si>
    <t>5. Communicatietechnologie</t>
  </si>
  <si>
    <t>6. Het communiceren van ideeën naar andere mensen.</t>
  </si>
  <si>
    <t xml:space="preserve">7. Het gebruik maken van de mogelijkheden om extra geld te verdienen. </t>
  </si>
  <si>
    <t>1. Formules interpreteren.</t>
  </si>
  <si>
    <t>1. Detailgericht</t>
  </si>
  <si>
    <t>Wetenschap, technologie, engineering en mathematica</t>
  </si>
  <si>
    <t>Planning, beheer en bijdrage van wetenschappelijk onderzoek en professionele en technische diensten (bijv: wetenschap en techniek) inclusief laboratorium- en testdiensten en onderzoeks- en ontwikkelingsdiensten.</t>
  </si>
  <si>
    <t>2. Zoeken naar antwoorden op vragen.</t>
  </si>
  <si>
    <t>2. Nieuwsgierig</t>
  </si>
  <si>
    <t>3. Werken in een laboratorium.</t>
  </si>
  <si>
    <t>3. Doelgericht</t>
  </si>
  <si>
    <t>3. Computer Aided Drawing</t>
  </si>
  <si>
    <t>4. Uitzoeken hoe zaken werken en het onderzoeken van nieuwe zaken.</t>
  </si>
  <si>
    <t>4. Methodisch</t>
  </si>
  <si>
    <t>4. Elektronica en computernetwerken</t>
  </si>
  <si>
    <t>5. Het ontdekken van nieuwe technologie.</t>
  </si>
  <si>
    <t>5. Statisch</t>
  </si>
  <si>
    <t xml:space="preserve">5. Technologie </t>
  </si>
  <si>
    <t>6. Experimenteren om de beste manier te vinden om dingen te doen.</t>
  </si>
  <si>
    <t xml:space="preserve">7. Het besteden van aandacht aan details en nauwkeurig werken. </t>
  </si>
  <si>
    <t>1. Reizen.</t>
  </si>
  <si>
    <t>1. Ondernemend</t>
  </si>
  <si>
    <t>1. Logistiek en distributie</t>
  </si>
  <si>
    <t>Transport, distributie en logistiek</t>
  </si>
  <si>
    <t>Planning, beheer en verplaatsing van mensen, materialen en goederen over de weg, pijpleiding, lucht, spoor en water en aanverwante professionele en technische ondersteuningsdiensten zoals transportinfrastructuur, planning en beheer, logistieke diensten, mobiele apparatuur en onderhoud van faciliteiten.</t>
  </si>
  <si>
    <t>2. Goed zien en het bezitten van snelle reflexen.</t>
  </si>
  <si>
    <t>2. Mechanisch</t>
  </si>
  <si>
    <t>2. Handel en industrie</t>
  </si>
  <si>
    <t>3. Het oplossen van mechanische problemen.</t>
  </si>
  <si>
    <t>3. Gecoördineerd</t>
  </si>
  <si>
    <t>4. Het ontwerpen van efficiënte processen.</t>
  </si>
  <si>
    <t>4. Observerend</t>
  </si>
  <si>
    <t>4. Economie</t>
  </si>
  <si>
    <t>5. Het anticiperen op behoeften en het voorbereiden van ontmoetingen.</t>
  </si>
  <si>
    <t>5. Planner</t>
  </si>
  <si>
    <t xml:space="preserve">6. Auto rijden. </t>
  </si>
  <si>
    <t>7. Het verplaatsen van dingen van de ene lokatie naar de andere lokatie.</t>
  </si>
  <si>
    <t>Cultuur</t>
  </si>
  <si>
    <t>Aspecten: Beoordeling van stelling (in zijn algemeenheid) a.h.v. score: 1 t/m 5</t>
  </si>
  <si>
    <t>1. Er bestaan gemeenschappelijke waarden en doelstellingen.</t>
  </si>
  <si>
    <t>Mensgerichte cultuur</t>
  </si>
  <si>
    <t>Deze cultuur is typerend voor zorginstellingen en service gerichte organisaties.</t>
  </si>
  <si>
    <t>2. Onderlinge samenhang (wij-gevoel). Participatieve instelling, teamwork, het beste uit elkaar halen.</t>
  </si>
  <si>
    <t>3. Klanten worden als partners beschouwd.</t>
  </si>
  <si>
    <t>4. Regels en procedures zijn ondergeschikt aan het gevoel een team te zijn.</t>
  </si>
  <si>
    <t>1. Snel reageren op snel veranderende omstandigheden.</t>
  </si>
  <si>
    <t>2. Centraal staan innovatie en vernieuwing zoals de ontwikkeling van nieuwe diensten en producten. Voorbereiding op de toekomst.</t>
  </si>
  <si>
    <t>Innovatieve cultuur</t>
  </si>
  <si>
    <t>Deze cultuur is typerend voor softwarebedrijven, luchtvaart, ruimtevaart e.d.</t>
  </si>
  <si>
    <t>3. Medewerkers worden gestimuleerd om creatief en flexibel te zijn.</t>
  </si>
  <si>
    <t>4. De organisatie is flexibel en kan indien nodig snel een nieuwe vorm aannemen.</t>
  </si>
  <si>
    <t>1. Het centraal staan van procedures en regels.</t>
  </si>
  <si>
    <t>2. De leidinggevenden coördineren en organiseren.</t>
  </si>
  <si>
    <t>Beheersgerichte cultuur</t>
  </si>
  <si>
    <t>Deze cultuur is typerend voor overheids- of onderwijsinstellingen.</t>
  </si>
  <si>
    <t>3. Langetermijndoelen zijn stabiliteit (in stand houden van de organisatie), efficiëntie en voorspelbaarheid.</t>
  </si>
  <si>
    <t>4. De organisatie kenmerkt zich door trage besluitvormingsprocessen</t>
  </si>
  <si>
    <t>1. Centrale waarden zijn productiviteit, resultaten, winst en taakgerichtheid.</t>
  </si>
  <si>
    <t>2. De externe positionering wordt benadrukt om de concurrentiepositie te versterken.</t>
  </si>
  <si>
    <t>Resultaatgerichte cultuur</t>
  </si>
  <si>
    <t>Deze cultuur is typerend voor organisaties die zich richten op externe transacties met belanghebbenden (klanten, leveranciers e.d.). De organisatie concurreert met gelijkaardige organisaties.</t>
  </si>
  <si>
    <t>3. Er is een duidelijk doel aanwezig en er wordt gebruikgemaakt van een agressieve strategie.</t>
  </si>
  <si>
    <t>4. Leidinggevenden zijn veeleisend en leggen de nadruk op de marktleider zijn.</t>
  </si>
  <si>
    <t>* Selecteer optie in uitvouwmenu</t>
  </si>
  <si>
    <t>Fase 1.0 | Loopbaanfase</t>
  </si>
  <si>
    <t>Bepaalde leeftijden zijn gekoppeld aan een fase. Een fase welke wordt gekenmerkt door specifieke zorgen en verantwoordelijkheden. Een loopbaanfase illustreert de motivatie en ontwikkeling gedurende iemands levensloop en de daaruit voorvloeiende normen en waarden die men centraal stelt in de loopbaan. Conform de bovenstaande theorie bevindt jij je in de volgende loopbaanfase:</t>
  </si>
  <si>
    <t>Loopbaan fase *</t>
  </si>
  <si>
    <t>Fase 1.1 | Big Five Persoonlijkheidsdimensies</t>
  </si>
  <si>
    <t xml:space="preserve">Om goede loopbaanbeslissingen te nemen, dient men te beschikken over een goed beeld van de eigen persoonlijkheid. Voor het in kaart brengen van de persoonlijkheid gebruikten wij het zogenaamde Big Five model. De zogenaamde vijffactorenstructuur wordt dan ook erkend als een model welke een vrijwel universeel sjabloon vormt voor het beschrijven van de basisdimensies van persoonlijkheid. </t>
  </si>
  <si>
    <t>Extraversie *</t>
  </si>
  <si>
    <t>Hoge score op extraversie
Als je hoog scoort op extraversie, straal je energie en enthousiasme uit in sociale omgevingen. Je zoekt graag gezelschap op, geniet van groepsactiviteiten en neemt vaak een leidende rol. Je hebt een voorkeur voor actieve en uitdagende situaties, bent assertief en houdt van nieuwe ervaringen. Dit zie je terug in de volgende eigenschappen:
Hartelijkheid: Je maakt makkelijk contact en bent oprecht geïnteresseerd in anderen.
Sociabiliteit: Je voelt je op je gemak in grote groepen en staat graag in het middelpunt van de aandacht.
Dominantie: Je neemt het voortouw in gesprekken en beslissingen.
Energie: Je hebt een constant hoog energieniveau en bent altijd in beweging.
Avonturisme: Je zoekt spanning en avontuur op en houdt van nieuwe ervaringen.
Vrolijkheid: Je hebt een opgewekt karakter en verspreidt positieve energie om je heen.</t>
  </si>
  <si>
    <t>Altruïsme *</t>
  </si>
  <si>
    <t>Consciëntieusheid *</t>
  </si>
  <si>
    <t>Neuroticisme *</t>
  </si>
  <si>
    <t>Openheid *</t>
  </si>
  <si>
    <t>Fase 2.0 | Loopbaanankers</t>
  </si>
  <si>
    <t>Voor het beantwoorden van de “Wat wil ik?” vraag, doorliepen we samen een vragenlijst waarmee we de zogenaamde loopbaanankers konden definiëren. Een loopbaananker is een gebied dat van zulk enorm belang is dat jij het nooit zou opgeven. Je definieert als het ware jouw zelfbeeld met betrekking tot dat belang, welke in elke loopbaanfase dan ook een doorslaggevende factor vormt. Volgens ons onderzoek scoor jij het hoogst op de volgende loopbaanankers:</t>
  </si>
  <si>
    <t>Hoogste score 1 *</t>
  </si>
  <si>
    <t>Hoogste score 2 *</t>
  </si>
  <si>
    <t>Fase 2.1 | Carriere Clusters</t>
  </si>
  <si>
    <t>Aansluitend doorliepen we als laatste stadium het zogenaamde carrière cluster onderzoek. Met dit onderzoek waren we in staat om te identificeren welke beroepssectoren het beste aansluiten op jouw persoonlijkheid. Volgens ons onderzoek zijn dit de volgende beroepssectoren:</t>
  </si>
  <si>
    <t>Fase 2.2 | Cultuur analyse</t>
  </si>
  <si>
    <t>Organisatiecultuur is de verzameling van normen, waarden en gedragsuitingen die gedeeld worden door de leden van een organisatie. De organisatiecultuur kan zich uiten in uiterlijkheden en in diepgevoelde waarden. Sommige leden van de organisatie hebben door hun positie, kennis of uitstraling een grotere invloed op de cultuur dan anderen. Een organisatiecultuur die eenmaal is gevestigd, kan zo sterk zijn dat nieuwe leden in de organisatie zich de daarbij behorende gedragingen, houding en normen snel eigen maken. Volgens ons onderzoek sluiten de volgende organisatieculturen het beste aan op jouw persoonlijkheid:</t>
  </si>
  <si>
    <t>Fase 2.3 | J.C.M.</t>
  </si>
  <si>
    <t xml:space="preserve">Onze functie analyse is gebaseerd op het zogenaamde Job Characteristics Model. Het Job Characteristics Model (JCM) van Hackman en Oldham beschrijft hoe specifieke kenmerken van een baan kunnen bijdragen aan de werktevredenheid en motivatie van werknemers. De belangrijkste eigenschappen zijn:
Variëteit aan vaardigheden (Skill variety)
De mate waarin een baan verschillende activiteiten en het gebruik van diverse vaardigheden en talenten vereist.
Taakidentiteit (Task identity)
De mate waarin een baan vereist dat een werknemer een volledig en identificeerbaar stuk werk afmaakt van begin tot eind.
Taakbetekenis (Task significance)
De mate waarin een baan een aanzienlijke impact heeft op het leven of werk van andere mensen, binnen of buiten de organisatie.
Autonomie (Autonomy)
De mate waarin een baan de vrijheid, onafhankelijkheid en discretie biedt bij het plannen van het werk en het bepalen van de procedures die worden gebruikt bij het uitvoeren van de taken.
Feedback
De mate waarin duidelijke, directe informatie over de effectiviteit van prestaties in de baan beschikbaar is.
Deze eigenschappen dragen bij aan drie kritieke psychologische toestanden:
 - Ervaren zinvolheid van het werk (door variëteit aan vaardigheden, taakidentiteit en taakbetekenis).
 - Ervaren verantwoordelijkheid voor uitkomsten van het werk (door autonomie).
- Kennis van de daadwerkelijke resultaten van het werk (door feedback).
Wanneer deze toestanden aanwezig zijn, leiden ze tot hoge intrinsieke motivatie, tevredenheid met het werk en betere prestaties.Volgens ons onderzoek zijn de volgende functie inhoudelijke aspecten belangrijk voor jou: </t>
  </si>
  <si>
    <t>Dit is een test.</t>
  </si>
  <si>
    <t>Cliënt</t>
  </si>
  <si>
    <t>Overheid</t>
  </si>
  <si>
    <t>TAM 1 | Van betaalde arbeid naar betaalde arbeid</t>
  </si>
  <si>
    <t>TAM 2 | Van werkloosheid, arbeidsongeschiktheid, inactiviteit naar betaalde arbeid</t>
  </si>
  <si>
    <t>TAM 3 | Van scholing naar betaalde arbeid</t>
  </si>
  <si>
    <t>TAM 4 | Van zorg/huishouden naar betaalde arbeid</t>
  </si>
  <si>
    <t>TAM 5 | Van uittreding naar betaalde arbeid</t>
  </si>
  <si>
    <t>Integratie Prognose Model &amp; Functioneel arbeidsmarktadvies</t>
  </si>
  <si>
    <t xml:space="preserve">Beroeps- of loopbaan onderzoek &amp; Beroeps- of loopbaankeuze advies </t>
  </si>
  <si>
    <t>Personal Training &amp; Voedingsoptiek</t>
  </si>
  <si>
    <t xml:space="preserve">Integratie Prognose Model &amp; Functioneel arbeidsmarktadvies | Beroeps- of loopbaan onderzoek &amp; Beroeps- of loopbaankeuze advies </t>
  </si>
  <si>
    <t>Integratie Prognose Model &amp; Functioneel arbeidsmarktadvies | Beroeps- of loopbaan onderzoek &amp; Beroeps- of loopbaankeuze advies | Personal Training &amp; Voedingsoptiek</t>
  </si>
  <si>
    <t>Beroeps- of loopbaan onderzoek &amp; Beroeps- of loopbaankeuze advies | Personal Training &amp; Voedingsoptiek</t>
  </si>
  <si>
    <t>17 tot 21 jaar | Ontdekking en opleiding. Van je 17e tot 21e zit je in een periode van verkenning en zelfontdekking. Dit zijn de jaren waarin je je middelbare school en/of vroege hoger onderwijs afrondt. Vaak doe je in deze fase je eerste werkervaring op, bijvoorbeeld via een bijbaan, stage of vrijwilligerswerk. Je ontdekt waar je interesses en talenten liggen, maakt keuzes over verdere opleidingen of je eerste stappen op de arbeidsmarkt en legt zo de basis voor je toekomst. Deze tijd is ook belangrijk voor je persoonlijke groei en het ontwikkelen van zelfstandigheid.</t>
  </si>
  <si>
    <t>22 tot 28 jaar | Vorming van professionele identiteit. Van je 22e tot 28e vorm je jouw professionele identiteit en zet je belangrijke stappen richting een stabiele en bevredigende carrière. In deze periode probeer je verschillende rollen uit, ontwikkel je je vaardigheden en bouw je aan je netwerk. Je streeft naar een balans tussen financiële stabiliteit en persoonlijke groei. De ervaringen en keuzes die je nu maakt, vormen de basis voor zowel je toekomstige loopbaan als je persoonlijke leven. Deze jaren zijn daarmee essentieel voor je verdere ontwikkeling en succes.</t>
  </si>
  <si>
    <t>29 tot 33 jaar | Carrière-opbouw en stabiliteit. Van je 29e tot 33e bouw je je carrière verder op en verdiep je je in je vakgebied. Vaak groei je door naar meer verantwoordelijke posities en specialiseer je je verder. In deze fase richt je je op verdere carrièreontwikkeling, stabiliteit en het vinden van balans tussen werk en privé. Het is ook een tijd waarin je belangrijke levenskeuzes maakt, zoals het aangaan van een langdurige relatie, het starten van een gezin of het nemen van beslissingen over waar je langdurig wilt wonen en werken.</t>
  </si>
  <si>
    <t xml:space="preserve">34 tot 40 jaar | Groei in carrière en verantwoordelijkheid. Tussen je 34e en 40e consolideer je je carrière en realiseer je persoonlijke doelen. Vaak bereik je middelmanagement- of hogere posities, specialiseer je je verder en maak je optimaal gebruik van je netwerk. De focus ligt op het vinden van een balans tussen werk en privé, met aandacht voor flexibele werkregelingen en financiële stabiliteit dankzij gestegen inkomsten en investeringen. Persoonlijke groei staat centraal, bijvoorbeeld door leiderschapsontwikkeling en mentorschap. Je besteedt meer aandacht aan gezondheid en welzijn, evenals aan gezinsverantwoordelijkheden en het onderhouden van relaties. In deze fase leef je de gewenste levensstijl en werk je aan het behalen van je lange termijndoelen.
</t>
  </si>
  <si>
    <t>41 tot 45 jaar | Leiderschap en balans. Tussen je 41e en 45e verdiep en stabiliseer je je loopbaan. Vaak bereik je topposities en bouw je je expertise verder uit. In deze fase richt je je op het consolideren van je carrière, het behouden van een gezonde werk-privébalans en het begeleiden of mentoren van jongere collega’s. Je maakt bewuste keuzes over je toekomstige richting, zowel professioneel als persoonlijk, en denkt vaak na over lange termijn plannen voor je pensioen en persoonlijke doelen.</t>
  </si>
  <si>
    <t>46 tot 64 jaar | Specialisatie en mentorship. Van je 46e tot 64e richt je je op verdere specialisatie en leiderschap. Vaak bereik je in deze periode de hoogste punten in je carrière en zet je je kennis en ervaring maximaal in. Je speelt een belangrijke rol als mentor, draagt bij aan strategische beslissingen binnen je organisatie en bereidt je voor op je pensionering. De focus ligt ook op het behouden van een goede werk-privébalans, het waarborgen van je gezondheid en het plannen van een zinvolle invulling van de jaren na je actieve loopbaan.</t>
  </si>
  <si>
    <t>65 jaar en ouder | Pensionering en erfgoed. Vanaf je 65e maak je de overgang naar pensionering en heroriënteer je je op een leven zonder formele werkverplichtingen. Je richt je op persoonlijke interesses, hobby's, vrijwilligerswerk en het doorgeven van je kennis en ervaring aan jongere generaties. Het is een tijd van reflectie, genieten van je vrije tijd en het onderhouden van sociale relaties en je gezondheid. De focus ligt op het creëren van een zinvolle en bevredigende invulling van je levensavond.</t>
  </si>
  <si>
    <t>Neutrale score op extraversie
Met een gemiddelde score op extraversie laat je een gebalanceerde aanpak zien in sociale situaties. Je kunt genieten van gezelschap, maar hebt ook momenten nodig om alleen te zijn. Je beweegt soepel tussen sociale activiteiten en persoonlijke tijd, afhankelijk van de situatie. Dit komt tot uiting in:
Hartelijkheid: Je bent vriendelijk, maar niet altijd degene die het initiatief neemt in sociale interacties.
Sociabiliteit: Je voelt je prettig in groepen, maar hebt geen behoefte om altijd het middelpunt van de aandacht te zijn.
Dominantie: Je neemt leiding als het nodig is, maar kunt ook volgen.
Energie: Je hebt een stabiel energieniveau, zonder opvallend uitbundig te zijn.
Avonturisme: Je probeert af en toe iets nieuws, maar zoekt niet constant avontuur.
Vrolijkheid: Je hebt een evenwichtige uitstraling en bent positief zonder overdadig uitbundig te zijn.</t>
  </si>
  <si>
    <t>Lage score op extraversie
Als je laag scoort op extraversie, heb je een voorkeur voor rust en kleine sociale omgevingen. Je bent introvert en voelt je meer op je gemak met jezelf of een paar vertrouwde mensen. Je geniet van stilte en reflectie in plaats van drukte en avontuur. Dit zie je terug in:
Hartelijkheid: Je bent gereserveerd en maakt niet snel contact met onbekenden.
Sociabiliteit: Je vermijdt grote groepen en voelt je prettiger in kleine, vertrouwde kringen.
Dominantie: Je blijft liever op de achtergrond en neemt zelden de leiding.
Energie: Je hebt een kalme, bedachtzame energie en houdt niet van drukte.
Avonturisme: Je zoekt geen risico's en geeft de voorkeur aan voorspelbare, veilige situaties.
Vrolijkheid: Je hebt een rustige en ingetogen blijdschap die niet snel opvalt.</t>
  </si>
  <si>
    <t xml:space="preserve">Hoge score op altruïsme
Als je hoog scoort op altruïsme, stel je het belang van anderen vaak boven je eigen belang. Je beleeft relaties vooral vanuit het perspectief van de ander en kunt je gemakkelijk in hen verplaatsen. Dit maakt je hulpvaardig, vriendelijk en gericht op samenwerking. Je bent van nature begaan met het welzijn van anderen en hebt een milde, begripvolle houding. Dit komt tot uiting in:
Vertrouwen: Je gelooft in de goede intenties van anderen.
Oprechtheid: Je bent eerlijk en oprecht in je interacties.
Zorgzaamheid: Je staat klaar om anderen te helpen wanneer ze je nodig hebben.
Inschikkelijkheid: Je bent flexibel en staat open voor compromissen.
Bescheidenheid: Je laat je prestaties en successen voor zichzelf spreken.
Medeleven: Je voelt je oprecht betrokken bij de emoties en uitdagingen van anderen.
</t>
  </si>
  <si>
    <t>Neutrale score op altruïsme
Met een gemiddelde score op altruïsme houd je een balans tussen je eigen belangen en die van anderen. Je bent bereid om te helpen en samen te werken, maar je bewaakt ook je eigen grenzen. Je kunt empathisch zijn zonder jezelf weg te cijferen. Dit zie je terug in:
Vertrouwen: Je gelooft in anderen, maar blijft alert op intenties.
Oprechtheid: Je bent meestal eerlijk, maar maakt soms strategische keuzes.
Zorgzaamheid: Je helpt anderen als het nodig is, maar niet ten koste van jezelf.
Inschikkelijkheid: Je kunt compromissen sluiten, maar ook op je standpunt blijven staan.
Bescheidenheid: Je erkent je successen zonder ze te benadrukken.
Medeleven: Je bent betrokken, maar laat je niet overspoelen door de emoties van anderen.</t>
  </si>
  <si>
    <t>Lage score op altruïsme
Als je laag scoort op altruïsme, richt je je voornamelijk op je eigen belangen en doelen. Je kunt competitief en onafhankelijk zijn en bent minder snel geneigd om je aan te passen aan anderen. Je bent harder in je oordelen en hebt een duidelijke focus op persoonlijke resultaten. Dit komt tot uiting in:
Vertrouwen: Je bent wantrouwender en neemt weinig aan van anderen.
Oprechtheid: Je bent selectief in wat je deelt en soms berekenend.
Zorgzaamheid: Je verwacht dat mensen hun eigen problemen oplossen.
Inschikkelijkheid: Je houdt vast aan je eigen standpunten en hebt moeite met compromissen.
Bescheidenheid: Je benadrukt je prestaties en stelt jezelf graag centraal.
Medeleven: Je bent minder gevoelig voor de emoties van anderen en richt je op feiten.</t>
  </si>
  <si>
    <t xml:space="preserve">Hoge score op consciëntieusheid
Als je hoog scoort op consciëntieusheid, ben je georganiseerd, doelgericht en verantwoordelijk. Je houdt ervan om dingen goed te plannen en je volgt altijd de regels. Je hebt een sterk verantwoordelijkheidsgevoel en houdt ervan om je taken goed uit te voeren. Dit zie je terug in de volgende eigenschappen:
Doelmatigheid: Je hebt duidelijke doelen voor ogen en werkt hard om deze te bereiken. Je houdt je goed aan deadlines en laat je niet snel afleiden.
Orderlijkheid: Je hebt altijd een georganiseerde werkplek, waar alles op de juiste plaats ligt. Je hebt een systematische benadering van alles wat je doet.
Betrouwbaarheid: Je kunt altijd op je woord vertrouwen. Als je een belofte doet, zorg je ervoor dat je deze nakomt, zelfs als het betekent dat je extra moeite moet doen.
Ambitie: Je hebt hoge verwachtingen van jezelf en streeft naar succes in je carrière. Je bent gemotiveerd om verder te groeien en neemt de nodige stappen om je doelen te behalen.
Zelfdiscipline: Je hebt de capaciteit om jezelf te reguleren. Je vermijdt afleidingen en blijft gefocust, ook wanneer het moeilijk wordt.
Bedachtzaamheid: Je neemt de tijd om beslissingen zorgvuldig te overwegen. Je reageert niet impulsief, maar denkt na over de langetermijngevolgen van je acties.
</t>
  </si>
  <si>
    <t>Neutrale score op consciëntieusheid
Als je neutraal scoort op consciëntieusheid, ben je redelijk georganiseerd en verantwoordelijk, maar je hebt niet altijd een rigide structuur in je leven. Je voldoet aan je verplichtingen, maar je hoeft niet per se alles tot in de puntjes te plannen. Je hebt een gezonde balans tussen werk en ontspanning. Dit zie je terug in de volgende eigenschappen:
Doelmatigheid: Je hebt doelen, maar je werkt niet altijd op een gestructureerde manier om ze te bereiken. Soms ben je wat flexibeler in je benadering.
Orderlijkheid: Je werkplek is redelijk georganiseerd, maar af en toe laat je dingen liggen of raakt je bureau een beetje rommelig. Je hebt geen grote moeite met het vinden van een balans tussen orde en chaos.
Betrouwbaarheid: Je komt meestal je verplichtingen na, maar je hebt af en toe wat meer tijd nodig om dingen af te maken. Je bent betrouwbaar, maar niet altijd strikt.
Ambitie: Je hebt een gezonde ambitie, maar je bent niet geobsedeerd door succes. Je bent tevreden met je werk, zolang het interessant blijft, maar je zoekt niet per se naar manieren om snel op te klimmen.
Zelfdiscipline: Je hebt zelfdiscipline, maar je laat je af en toe afleiden. Soms stel je dingen uit, maar over het algemeen werk je voldoende om je doelen te behalen.
Bedachtzaamheid: Je denkt na over je beslissingen, maar soms reageer je snel op situaties zonder alles in detail te overwegen.</t>
  </si>
  <si>
    <t>Lage score op consciëntieusheid
Als je laag scoort op consciëntieusheid, ben je minder georganiseerd en meer impulsief. Je hebt de neiging om dingen last-minute te doen en je bent minder gericht op het plannen van de toekomst. Je hebt niet veel structuur in je leven en voelt je vaak niet gemotiveerd om je verplichtingen strikt na te komen. Dit zie je terug in de volgende eigenschappen:
Doelmatigheid: Je stelt weinig doelen of hebt geen duidelijke richting in je leven. Je volgt vaak je instincten en reageert op wat er op dat moment gebeurt.
Orderlijkheid: Je hebt moeite met het organiseren van je werk of omgeving. Je werkplek is vaak rommelig, en je hebt geen vast systeem voor het bijhouden van taken of verplichtingen.
Betrouwbaarheid: Je hebt moeite met het nakomen van afspraken en deadlines. Je laat dingen vaak liggen of vergeet ze. Je hebt soms de neiging om onbetrouwbaar over te komen.
Ambitie: Je hebt weinig ambitie om verder te groeien of je leven te verbeteren. Je accepteert je huidige situatie zonder veel verlangen naar verandering.
Zelfdiscipline: Je hebt moeite met het reguleren van je gedrag en hebt de neiging om dingen uit te stellen of afgeleid te raken door andere interesses.
Bedachtzaamheid: Je handelt vaak impulsief en zonder goed na te denken over de gevolgen van je acties. Je neemt risico's zonder altijd de langetermijnimpact te overwegen.</t>
  </si>
  <si>
    <t xml:space="preserve">Hoge score op neuroticisme
Als je hoog scoort op neuroticisme, ervaar je vaker negatieve emoties zoals angst, frustratie en verdriet. Je reageert sterk op stress en hebt de neiging om gewone situaties als bedreigend of overweldigend te ervaren. Je voelt je vaak zelfbewust en hebt moeite met het beheersen van je emoties. Dit zie je terug in de volgende eigenschappen:
Angst: Je maakt je vaak zorgen over de toekomst, zelfs over kleine dingen. Onzekere situaties kunnen je angstig maken, en je denkt vaak aan de ergste uitkomsten.
Ergernis: Je raakt snel geïrriteerd door andere mensen of situaties, zelfs als het om kleine ongemakken gaat. Dit kan leiden tot frustratie en ongemakkelijke interacties.
Depressie: Je hebt de neiging om vaker gevoelens van somberheid of hopeloosheid te ervaren. Als dingen niet goed gaan, kun je je snel overweldigd of neerslachtig voelen.
Schaamte: Je maakt je zorgen over hoe anderen je zien en hebt vaak last van schaamte of zelfkritiek, zelfs voor kleine misstappen.
Impulsiviteit: Je kunt je emoties moeilijk onder controle houden en reageert soms impulsief. Dit kan leiden tot beslissingen die je later betreurt.
Kwetsbaarheid: Je voelt je vaak kwetsbaar voor stressvolle situaties. Je hebt moeite om te herstellen van tegenslagen en bent gevoeliger voor psychologische belasting.
</t>
  </si>
  <si>
    <t>Neutrale score op neuroticisme
Als je neutraal scoort op neuroticisme, ervaar je een gebalanceerd emotioneel leven. Je hebt de neiging om stress aan te kunnen en hebt een redelijk stabiele gemoedstoestand, maar soms voel je je bezorgd of geïrriteerd. Je weet je emoties meestal goed te reguleren, maar hebt af en toe momenten van onzekerheid of frustratie. Dit zie je terug in de volgende eigenschappen:
Angst: Je maakt je af en toe zorgen, maar kunt meestal relativeren en kalm blijven in stressvolle situaties. Je denkt niet vaak aan de ergste scenario's.
Ergernis: Je raakt soms geïrriteerd door mensen of situaties, maar het duurt meestal niet lang en je kunt jezelf weer snel kalmeren.
Depressie: Je hebt niet vaak last van diepe gevoelens van verdriet of hopeloosheid, maar soms kun je je wel een beetje down voelen, vooral als dingen niet goed gaan.
Schaamte: Je maakt je niet altijd zorgen over hoe anderen je zien, maar af en toe voel je je ongemakkelijk of beschaamd over je acties.
Impulsiviteit: Je kunt soms impulsief reageren, vooral in stressvolle situaties, maar je hebt meestal het vermogen om je emoties te beheersen.
Kwetsbaarheid: Je kunt je af en toe kwetsbaar voelen voor stress, maar je herstelt je relatief snel en blijft meestal kalm in moeilijke situaties.</t>
  </si>
  <si>
    <t>Lage score op neuroticisme
Als je laag scoort op neuroticisme, ben je emotioneel stabiel, kalm en evenwichtig. Je maakt je niet snel zorgen, kunt goed omgaan met stress en bent moeilijk uit het veld te slaan. Je voelt je meestal ontspannen en tevreden met jezelf. Dit zie je terug in de volgende eigenschappen:
Angst: Je maakt je zelden zorgen of voelt angst in stressvolle situaties. Je blijft kalm, zelfs als er onzekerheid is, en vertrouwt erop dat je alles aankunt.
Ergernis: Je raakt zelden geïrriteerd door anderen of ongemakken. Je hebt een geduldige en rustige benadering van conflicten of frustraties.
Depressie: Je hebt weinig last van gevoelens van somberheid of hopeloosheid. Je blijft optimistisch, zelfs als dingen niet gaan zoals gepland.
Schaamte: Je maakt je zelden zorgen over wat anderen van je denken. Je hebt zelfvertrouwen en bent meestal in vrede met jezelf.
Impulsiviteit: Je reageert bedachtzaam op situaties en hebt geen last van impulsief gedrag. Je kunt je emoties goed beheersen.
Kwetsbaarheid: Je bent goed bestand tegen stress en hebt de capaciteit om snel te herstellen van tegenslagen. Je blijft standvastig, zelfs in moeilijke tijden.</t>
  </si>
  <si>
    <t xml:space="preserve">Hoge score op openheid voor nieuwe ervaringen
Als je hoog scoort op openheid voor nieuwe ervaringen, ben je nieuwsgierig, creatief en bereid om buiten de gebaande paden te denken. Je hebt een sterk verlangen om nieuwe ideeën en ervaringen te verkennen, en je hebt een brede belangstelling voor kunst, filosofie en andere abstracte concepten. Dit zie je terug in de volgende eigenschappen:
Fantasie: Je hebt een rijke verbeelding en kunt goed dagdromen of nieuwe, creatieve ideeën ontwikkelen. Je geniet van het verkennen van ongewone gedachten en concepten.
Esthetiek: Je hebt een diepe waardering voor kunst en schoonheid. Je voelt je vaak geïnspireerd door muziek, schilderijen, architectuur en andere vormen van kunst.
Gevoelens: Je staat in contact met je eigen emoties en hebt vaak intense gevoelens die je graag uitdrukt of onderzoekt. Je hebt een open benadering van je innerlijke wereld.
Veranderbaarheid: Je hebt een flexibele en open houding tegenover verandering. Je hebt geen bezwaar tegen het verkennen van nieuwe manieren van doen en denkt vaak buiten de traditionele normen.
Ideeën: Je bent geïnteresseerd in abstracte ideeën en filosofieën. Je houdt van discussies over diepe of complexe onderwerpen en zoekt voortdurend naar nieuwe inzichten.
Waarden: Je hebt vaak een progressieve benadering van ethische en maatschappelijke kwesties. Je bent open-minded en hebt een sterke interesse in diversiteit en nieuwe sociale concepten.
</t>
  </si>
  <si>
    <t>Neutrale score op openheid voor nieuwe ervaringen
Als je neutraal scoort op openheid voor nieuwe ervaringen, ben je praktisch ingesteld en geïnteresseerd in sommige nieuwe ideeën, maar je houdt je meestal aan vertrouwde en beproefde methoden. Je hebt een zekere belangstelling voor kunst en cultuur, maar niet in dezelfde mate als mensen die hoog scoren op openheid. Je hebt een evenwichtige benadering van het verkennen van nieuwe dingen, zonder dat dit je dagelijks leven te veel beïnvloedt. Dit zie je terug in de volgende eigenschappen:
Fantasie: Je hebt een actieve verbeelding, maar je gaat niet ver buiten de grenzen van wat je gewend bent. Je hebt af en toe creatieve ideeën, maar je vindt het vaak gemakkelijker om praktische oplossingen te bedenken.
Esthetiek: Je hebt een bescheiden waardering voor kunst en schoonheid, maar je gaat er niet per se naar op zoek. Je geniet van kunst, maar het is niet een groot onderdeel van je dagelijks leven.
Gevoelens: Je hebt een redelijk goed begrip van je emoties, maar je hebt geen sterke neiging om deze voortdurend te onderzoeken. Je houdt jezelf op een praktische manier in balans.
Veranderbaarheid: Je hebt geen bezwaar tegen veranderingen, maar je waardeert ook stabiliteit en routine. Je bent bereid om je aan te passen, maar ook tevreden met wat werkt.
Ideeën: Je bent geïnteresseerd in ideeën en theorieën, maar je hebt niet altijd de behoefte om alles in vraag te stellen of volledig nieuwe concepten te omarmen.
Waarden: Je hebt traditionele opvattingen, maar staat open voor andere perspectieven. Je bent bereid nieuwe ideeën te overwegen, maar kiest vaak voor de meer beproefde methoden en waarden.</t>
  </si>
  <si>
    <t>Lage score op openheid voor nieuwe ervaringen
Als je laag scoort op openheid voor nieuwe ervaringen, geef je de voorkeur aan het bekende en het praktische. Je hebt weinig interesse in abstracte ideeën of kunst en bent meer gericht op concrete feiten en alledaagse realiteiten. Je houdt van routine en stabiliteit en vermijdt ongewone of verrassende ervaringen. Dit zie je terug in de volgende eigenschappen:
Fantasie: Je hebt weinig belangstelling voor fantasierijke ideeën of verbeeldingskracht. Je voelt je meer op je gemak met praktische, tastbare zaken dan met abstracte concepten.
Esthetiek: Je hebt weinig interesse in kunst of esthetische ervaringen. Je hebt een praktische benadering van schoonheid en vindt kunst niet noodzakelijk een belangrijk aspect van je leven.
Gevoelens: Je hebt weinig behoefte om je emoties te verkennen of te uiten. Je voelt je vaak comfortabeler met een nuchtere en feitelijke benadering van emoties.
Veranderbaarheid: Je hebt een sterke voorkeur voor stabiliteit en routine. Je voelt je niet op je gemak bij veranderingen en hebt liever voorspelbare, vertrouwde situaties.
Ideeën: Je hebt weinig interesse in abstracte ideeën of filosofieën. Je houdt meer van praktische oplossingen en kijkt liever naar de feiten in plaats van diepgaande, theoretische discussies.
Waarden: Je hebt een conservatieve benadering van ethische en maatschappelijke kwesties. Je hecht veel waarde aan traditie en blijft het liefst bij gevestigde normen en waarden.</t>
  </si>
  <si>
    <t>Omhoog komen | De loopbaanoriëntatie "Omhoog komen" is gericht op jouw streven naar vooruitgang binnen een organisatie, waarbij het beklimmen van de hiërarchische ladder en het verkrijgen van meer status en invloed centraal staan. Dit proces gaat gepaard met toenemende verantwoordelijkheden, uitdagingen en kansen om leiderschap te tonen. Prestige en beloning groeien naarmate je hogere posities bereikt, wat jou motivatie biedt om continue professionele ontwikkeling na te streven en strategisch te netwerken binnen de organisatie.</t>
  </si>
  <si>
    <t>Veilig voelen | De loopbaanoriëntatie "Veilig voelen" richt zich op jouw streven naar een stabiele baan binnen een goed georganiseerde en rustige werkomgeving. Jij verlangt naar langdurige en vaste dienstverbanden, waarin je erkend en gewaardeerd wordt door je werkgever. Je toont een loyale en toegewijde werkhouding, bent bereid hard te werken en hecht waarde aan onderling respect, wederkerigheid en loyaliteit in je teamrelaties.</t>
  </si>
  <si>
    <t>Vrij zijn | De loopbaanoriëntatie "Vrij zijn" draait om jouw streven naar persoonlijke zelfstandigheid, ruimte en verantwoordelijkheid in het bereiken van resultaten, boven gebondenheid aan zekerheid en vaste regels. Jij wilt je grenzen verkennen en hecht waarde aan onafhankelijkheid en zelfcontrole. Je bent bereid intensief te werken als dit gepaard gaat met gunstige voorwaarden voor je vrijheid. Hoewel interessant werk belangrijk is, is het uiteindelijke doel voor jou het behoud en de versterking van je eigen vrijheid.</t>
  </si>
  <si>
    <t>Balans vinden | De loopbaanoriëntatie "Balans vinden" richt zich op jouw streven naar een optimaal evenwicht tussen werk, privé-leven en zelfontwikkeling. Voor jou is werk slechts een deel van je totale levensvervulling. Je hecht veel waarde aan de kwaliteit van leven en zoekt naar manieren om werk en persoonlijk leven in harmonie te brengen. De balans tussen werk en privé kan variëren afhankelijk van de situatie, maar het streven naar een gezonde levensstijl en persoonlijke groei staat centraal in je loopbaanbeslissingen.</t>
  </si>
  <si>
    <t>Uitdaging zoeken | De loopbaanoriëntatie "Uitdaging zoeken" wordt gekenmerkt door jouw behoefte aan opwinding, avontuur en sterke betrokkenheid bij het werk. Jij wilt dicht bij de actie en creativiteit zijn en vindt het moeilijk om je van je werk los te maken. Je ervaart bureaucratische organisaties als belemmerend. Hoewel zelfstandigheid belangrijk is, staat opwindend en uitdagend werk voor jou op de eerste plaats.</t>
  </si>
  <si>
    <t>Milieu, Landbouw, voeding en natuurlijke grondstoffen | De sector "Milieu, landbouw, voeding en natuurlijke grondstoffen" omvat een breed scala aan activiteiten gericht op de productie, verwerking, marketing, distributie, financiering en ontwikkeling van agrarische grondstoffen en hulpbronnen. Dit omvat onder andere:
Voedsel: Productie en verwerking van gewassen en vee voor menselijke consumptie.
Vezels: Productie van plantaardige vezels zoals katoen en dierlijke vezels zoals wol.
Houtproducten: Productie en verwerking van hout voor diverse toepassingen, van bouwmateriaal tot papier.
Natuurlijke hulpbronnen: Exploitatie en beheer van hulpbronnen zoals water, mineralen en energiebronnen.
Tuinbouw: Teelt van groenten, fruit, bloemen en planten voor consumptie en decoratie.
Plantaardige en dierlijke producten: Productie en verwerking van diverse andere agrarische producten, zoals oliën, kruiden en dierlijke bijproducten.
Deze sector speelt een cruciale rol in het voorzien van essentiële producten en materialen, en draagt bij aan de economische ontwikkeling door middel van innovatie en duurzaam beheer van natuurlijke hulpbronnen.</t>
  </si>
  <si>
    <t>Architectuur en constructie | De sector "Architectuur en constructie" omvat een breed scala aan carrières die zich richten op het ontwerpen, plannen, beheren, bouwen en behouden van de gebouwde omgeving. Dit omvat onder andere:
Ontwerpen: Architecten en ontwerpers creëren de plannen voor nieuwe gebouwen en infrastructuur, rekening houdend met functionaliteit, esthetiek en duurzaamheid.
Plannen: Stedenbouwkundigen en projectmanagers coördineren de ontwikkeling van bouwprojecten, van concept tot voltooiing, inclusief het opstellen van gedetailleerde bouwplannen en tijdlijnen.
Beheren: Bouwmanagers en supervisors zorgen voor de organisatie en supervisie van bouwactiviteiten, waarbij ze ervoor zorgen dat projecten op schema en binnen budget worden uitgevoerd.
Bouwen: Bouwvakkers, ingenieurs en aannemers werken samen aan de fysieke constructie van gebouwen, bruggen, wegen en andere infrastructuur.
Behoud: Restaurateurs en onderhoudsspecialisten richten zich op het behoud en de renovatie van bestaande gebouwen en historische structuren, zodat deze duurzaam en veilig blijven.
Deze sector speelt een cruciale rol in de vormgeving van onze leefomgeving en draagt bij aan economische ontwikkeling, stedelijke planning en het behoud van cultureel erfgoed.</t>
  </si>
  <si>
    <t>Kunst, audio- visuele technologie en communicatie | De sector "Kunst, audio-visuele technologie en communicatie" omvat carrières in het ontwerpen, produceren, vertonen, uitvoeren, schrijven en publiceren van multimedia-inhoud. Dit omvat onder andere:
Visuele en podiumkunsten: Kunstenaars, acteurs, dansers en muzikanten creëren en presenteren kunstwerken en uitvoeringen.
Design: Grafisch ontwerpers, modeontwerpers en andere creatieve professionals ontwikkelen visuele concepten voor verschillende media.
Journalistiek: Journalisten en schrijvers produceren nieuwsartikelen, verhalen en andere content voor kranten, tijdschriften, televisie en online platforms.
Entertainmentdiensten: Producenten, regisseurs en technici werken samen om films, televisieshows, muziekproducties en andere entertainmentvormen te creëren en te distribueren.
Deze sector draagt bij aan de culturele en creatieve industrieën door innovatieve en meeslepende inhoud te produceren die mensen informeert, entertaint en inspireert.</t>
  </si>
  <si>
    <t>Business Management en administratie | De sector "Business Management en administratie" omvat carrières die zich richten op het plannen, organiseren, leiden en evalueren van zakelijke functies die cruciaal zijn voor efficiënte en productieve bedrijfsactiviteiten. Dit omvat onder andere:
Plannen: Strategieontwikkelaars en bedrijfsanalisten bepalen de koers van de organisatie door langetermijndoelen en actieplannen op te stellen.
Organiseren: Operationele managers en projectleiders coördineren middelen en taken om bedrijfsprocessen soepel te laten verlopen.
Leiden: Leidinggevenden en afdelingshoofden motiveren en sturen teams aan om doelstellingen te bereiken.
Evalueren: Kwaliteitscontroleurs en auditors beoordelen bedrijfsprocessen en prestaties om verbeteringen door te voeren.
Carrièremogelijkheden in management en administratie zijn beschikbaar in elke sector van de economie, waardoor professionals in deze velden essentieel zijn voor de algehele efficiëntie en groei van organisaties.</t>
  </si>
  <si>
    <t xml:space="preserve">Educatie en training |De sector "Educatie en training" omvat carrières die zich richten op het proces van kennisoverdracht en vaardigheidsontwikkeling om individuen voor te bereiden op persoonlijke en professionele groei. Dit omvat onder andere:
Formeel onderwijs: Leraren, docenten en professoren geven les op scholen en universiteiten, waarbij ze studenten voorzien van academische kennis en vaardigheden.
Beroepsgerichte trainingen: Trainers en instructeurs bieden gespecialiseerde opleidingen aan voor specifieke beroepen, waardoor deelnemers de nodige competenties verwerven voor hun vakgebied.
Bijscholing: Opleidingsspecialisten en cursusleiders verzorgen bijscholingsprogramma's en workshops om professionals te helpen nieuwe vaardigheden te leren en hun kennis up-to-date te houden.
Het doel van educatie en training is om mensen te voorzien van de benodigde kennis, competenties en kwalificaties om succesvol te zijn in hun carrières en waardevolle bijdragen te leveren aan de samenleving. Deze sector bevordert intellectuele ontwikkeling, kritisch denken en voortdurende persoonlijke verbetering.
</t>
  </si>
  <si>
    <t>Financiën | De sector "Financiën" omvat carrières in de planning en levering van financiële diensten, investeringsplanning, bankieren, verzekeringen en bedrijfsfinancieel beheer. Dit omvat onder andere:
Financiële planning: Financiële planners en adviseurs helpen individuen en organisaties met het opstellen van strategieën voor sparen, beleggen en pensioenplanning.
Bankieren: Bankmedewerkers en managers bieden diensten aan zoals leningen, hypotheken en dagelijkse banktransacties.
Verzekeringen: Verzekeringsagenten en underwriters werken aan het aanbieden en beheren van verzekeringspolissen voor individuen en bedrijven.
Bedrijfsfinancieel beheer: Financieel managers en accountants beheren de financiële gezondheid van bedrijven door budgettering, boekhouding, en financiële analyse.
Deze sector is cruciaal voor de economische stabiliteit en groei, en helpt individuen en organisaties bij het behalen van hun financiële doelen en het beheren van risico's.</t>
  </si>
  <si>
    <t>Overheid en publieke administratie | De sector "Overheid en publieke administratie" omvat carrières die zich richten op het uitvoeren van overheidsfuncties op lokaal, staat- en federaal niveau. Dit omvat onder andere:
Nationale veiligheid: Werkzaamheden binnen defensie, politie en andere veiligheidsdiensten die de veiligheid van het land en de burgers waarborgen.
Binnen- en buitenlandse dienst: Diplomaten en ambtenaren die de belangen van het land in binnen- en buitenland vertegenwoordigen en beheren.
Planning: Stedenbouwkundigen en beleidsmakers die plannen en beleid ontwikkelen voor stedelijke en landelijke ontwikkeling.
Inkomsten en belastingen: Belastinginspecteurs en financieel specialisten die verantwoordelijk zijn voor de inning en administratie van belastingen.
Regulatie: Inspecteurs en toezichthouders die wetten en regelgeving handhaven binnen verschillende sectoren.
Beheer en administratie: Ambtenaren die zorgen voor de dagelijkse administratie en het beheer van overheidsinstellingen en -diensten.
Deze sector speelt een essentiële rol in het functioneren van de samenleving door het bieden van essentiële diensten, het handhaven van wetten en het ontwikkelen van beleid dat de publieke belangen dient.</t>
  </si>
  <si>
    <t>Gezondheidswetenschappen | De sector "Gezondheidswetenschappen" omvat:
Therapeutische diensten: Directe zorg en behandeling door professionals zoals artsen, verpleegkundigen en therapeuten.
Onderzoek: Ontwikkeling van nieuwe medische kennis en behandelingen via laboratoriumstudies en klinische proeven.
Medische informatica: Ontwerp en beheer van technologieën voor patiëntgegevens en medische systemen.
Ondersteunende diensten: Laboratoriumtechnici, administratief personeel en logistieke planners die zorginstellingen ondersteunen.
Biotechnologisch onderzoek en ontwikkeling: Ontwikkeling van nieuwe medicijnen, therapieën en diagnostische tests met behulp van biotechnologische methoden.
Deze sector speelt een cruciale rol in het verbeteren van gezondheidszorgdiensten en het bevorderen van medische innovaties.</t>
  </si>
  <si>
    <t>Hospitality en toerisme | Hospitality en toerisme omvat het management, marketing en activiteiten van restaurants en andere eetgelegenheden, logies, attracties en recreatie-evenementen en reisgerelateerde diensten. Deze sector omvat:
Management en operaties van restaurants, eetgelegenheden en accommodaties.
Marketing en promotie van toeristische bestemmingen, attracties en recreatie-evenementen.
Diensten gerelateerd aan reizen, zoals reisbureaus en luchtvaartmaatschappijen.
Deze sector richt zich op het bieden van gastvrije ervaringen en het faciliteren van reisgerelateerde activiteiten voor zowel lokale als internationale bezoekers.</t>
  </si>
  <si>
    <t>Humanitaire dienstverlening | Humanitaire dienstverlening in de welzijnssector richt zich op:
Verlenen van directe hulp en ondersteuning aan kwetsbare mensen getroffen door rampen, conflicten of extreme armoede.
Bieden van noodhulp zoals voedsel, water, onderdak en medische zorg tijdens crisissituaties.
Herstellen van gemeenschappen via wederopbouwprogramma's, duurzame ontwikkeling en versterking van lokale capaciteiten.
Het doel is niet alleen om onmiddellijke behoeften te vervullen, maar ook om een stabiele basis te leggen voor toekomstige zelfredzaamheid en veerkracht van de bediende gemeenschappen.</t>
  </si>
  <si>
    <t>ICT |Technische en professionele loopbanen gerelateerd aan het ontwerp, ontwikkeling, ondersteuning en beheer van hardware, software, multimedia- en systeemintegratiediensten omvatten:
Ontwerp en ontwikkeling van hardware: Engineers die elektronische componenten en systemen ontwerpen, zoals computers, microprocessoren en communicatietechnologieën.
Softwareontwikkeling: Programmeurs en software-ingenieurs die applicaties, besturingssystemen en softwareoplossingen creëren voor diverse toepassingen.
Multimedia: Specialisten die zich bezighouden met de creatie en integratie van digitale media, waaronder animaties, audiovisuele content en interactieve applicaties.
Systeemintegratie: Experts die verschillende technologieën en systemen samenbrengen tot een functioneel geheel, zoals netwerken, databasemanagement en IT-infrastructuur.
Deze loopbanen richten zich op het leveren van technologische oplossingen die essentieel zijn voor moderne bedrijfsvoering, communicatie en entertainment en spelen een cruciale rol in de ontwikkeling en evolutie van digitale en informatietechnologieën.</t>
  </si>
  <si>
    <t>Publieke veiligheid en zekerheid | Publieke veiligheid en zekerheid omvat:
Planning, beheer en uitvoering van wettelijke, openbare veiligheid en beschermende diensten.
Binnenlandse veiligheid: Beheer van maatregelen en strategieën ter bescherming van nationale veiligheid.
Professionele en technische ondersteuningsdiensten: Ondersteuning bij wetshandhaving, noodhulp en rampenbestrijding.
Deze sector richt zich op het waarborgen van de veiligheid en beveiliging van burgers door middel van preventieve maatregelen, rechtshandhaving en noodrespons, en speelt een essentiële rol in de bescherming van openbare orde en nationale veiligheid.</t>
  </si>
  <si>
    <t>Fabricage |Fabricage omvat:
Planning, beheer en uitvoering van de verwerking van materialen tot producten.
Productieplanning en controle: Het plannen en monitoren van productieprocessen om efficiëntie en kwaliteit te waarborgen.
Onderhoud: Onderhoudsactiviteiten om de optimale werking van machines en apparatuur te handhaven.
Productie- en procestechniek: Professionele en technische ondersteuningsdiensten voor het verbeteren van productieprocessen en technologische innovaties.
Deze sector speelt een cruciale rol in de productie van goederen en materialen die essentieel zijn voor verschillende industrieën, variërend van automotive en elektronica tot voedselverwerking en farmaceutische producten.</t>
  </si>
  <si>
    <t xml:space="preserve">Marketing, sales en service | Marketing, sales en service omvatten alle activiteiten die gericht zijn op het promoten, verkopen en ondersteunen van producten en diensten.
Marketing: Het proces van het identificeren van klantbehoeften en het creëren van waardevolle aanbiedingen, met behulp van strategieën zoals reclame, public relations en digitale marketing om merkbekendheid en klantbetrokkenheid te vergroten.
Sales: Het directe verkoopproces waarbij producten of diensten aan klanten worden aangeboden, inclusief het opbouwen van klantrelaties, onderhandelen en sluiten van deals om omzet te genereren.
Service: Het bieden van ondersteuning en diensten na de verkoop om klanttevredenheid te waarborgen, zoals klantenservice, technische ondersteuning en onderhoudsdiensten.
Samen zorgen deze drie elementen ervoor dat bedrijven hun producten effectief op de markt brengen, verkopen en langdurige klantrelaties onderhouden.
</t>
  </si>
  <si>
    <t>Wetenschap, technologie, engineering en mathematica | Wetenschap, technologie, engineering en wiskunde (STEM) omvat:
Planning en beheer van wetenschappelijk onderzoek en technologische ontwikkelingen.
Professionele en technische diensten zoals engineering en technologie, inclusief laboratorium- en testdiensten.
Onderzoek en ontwikkeling: Het ontwikkelen van nieuwe technologieën, producten en innovaties.
Deze sector draagt bij aan vooruitgang in verschillende disciplines door middel van wetenschappelijk onderzoek, technologische innovatie en het leveren van technische expertise.</t>
  </si>
  <si>
    <t>Transport, distributie en logistiek | Transport, distributie en logistiek omvat:
Planning, beheer en uitvoering van het verplaatsen van mensen, materialen en goederen over de weg, via pijpleidingen, luchtvaart, spoorwegen en waterwegen.
Transportinfrastructuur: Ontwikkeling en onderhoud van infrastructuur zoals wegen, bruggen, havens en luchthavens.
Logistieke diensten: Beheer van voorraad, opslag en distributie van goederen.
Planning en beheer: Coördinatie van transportroutes, schema's en logistieke processen.
Technische ondersteuningsdiensten: Onderhoud van voertuigen, apparatuur en faciliteiten om een efficiënte werking te garanderen.
Deze sector speelt een essentiële rol in het faciliteren van handel, transport en mobiliteit en draagt bij aan economische groei door het optimaliseren van transport- en logistieke oplossingen wereldwijd.</t>
  </si>
  <si>
    <t>Gezondheid</t>
  </si>
  <si>
    <t>Personalia</t>
  </si>
  <si>
    <t>Leefsituatie</t>
  </si>
  <si>
    <t>Kwalificatie</t>
  </si>
  <si>
    <t>Competentie</t>
  </si>
  <si>
    <t>Arbeidsmarkt</t>
  </si>
  <si>
    <t>Basisonderwijs</t>
  </si>
  <si>
    <t>VMBO | Basis beroepsgerichte leerweg</t>
  </si>
  <si>
    <t>VMBO | Kader beroepsgerichte leerweg</t>
  </si>
  <si>
    <t>VMBO | Gemengde leerweg</t>
  </si>
  <si>
    <t>VMBO | Theoretische leerweg</t>
  </si>
  <si>
    <t>HAVO</t>
  </si>
  <si>
    <t>VWO</t>
  </si>
  <si>
    <t>VAVO | Voortgezet Algemeen Volwassenen Onderwijs</t>
  </si>
  <si>
    <t>MBO 1 | Entree opleiding</t>
  </si>
  <si>
    <t>MBO 2 | Basis beroepsopleiding</t>
  </si>
  <si>
    <t>MBO 3 | Vak opleiding</t>
  </si>
  <si>
    <t>MBO 4 | Middenkader opleiding</t>
  </si>
  <si>
    <t>MBO 4 | Specilaisten opleiding</t>
  </si>
  <si>
    <t>HBO 5 | Associate Degree</t>
  </si>
  <si>
    <t>HBO 6 | Bachelor</t>
  </si>
  <si>
    <t>HBO 7 | Master</t>
  </si>
  <si>
    <t>WO | Bachelor</t>
  </si>
  <si>
    <t>WO | Pre-Master</t>
  </si>
  <si>
    <t>WO | Master</t>
  </si>
  <si>
    <t>PhD</t>
  </si>
  <si>
    <t>Telefoon</t>
  </si>
  <si>
    <t>E-mail</t>
  </si>
  <si>
    <t>Realistic | Praktisch: Je hebt een voorkeur voor werk waarin men praktisch omgaat met materialen, gereedschap, machines, planten en/of dieren. Vaak betreft het in dezen lichamelijk werk of werk waarbij een zeker technisch inzicht belangrijk is. Passende beroepen zijn te vinden in de techniek, transport en logistiek of de land- en tuinbouw.</t>
  </si>
  <si>
    <t>Investigative | Onderzoekend: Je hebt een voorkeur om allerlei zaken om je heen te observeren, te analyseren en te verklaren. Waarschijnlijk beschik je over een goede rekenvaardigheid en heb je een goed ontwikkeld logisch denkvermogen. Vaak betreft het werk waarin een goed ontwikkeld algemeen denkvermogen belangrijk is. Passende beroepen zijn te vinden in de wetenschap.</t>
  </si>
  <si>
    <t xml:space="preserve">Artistic | Creatief: Je hebt een voorkeur om werk te doen waarbij de kaders niet vooraf al voor je bepaald zijn en waarbij je gebruik kan maken van je creatieve vaardigheden zoals schrijven, dansen, toneelspelen, beeldend vormen enzovoorts. Passende beroepen zijn te vinden in de theaterwereld, de muziek, de beeldende kunst, de literatuur en de reclame of marketing. </t>
  </si>
  <si>
    <t>Social | Mensgericht: Je hebt een voorkeur om werk te doen waarin contact met mensen centraal staat. Het betreft in dezen activiteiten zoals les geven, verzorgen, informeren, amuseren enzovoorts. Het betreft in dezen beroepen waarbij communiceren en het werken met mensen in het algemeen belangrijk is. Voorbeelden hiervan zijn werken in het onderwijs en in de hulpverlening.</t>
  </si>
  <si>
    <t>Enterprising | Ondernemend: Je hebt een voorkeur om doelgericht bezig te zijn met organiseren, leiding geven/besturen, verkopen enzovoorts. Passende beroepen zijn te vinden in commerciële, leidinggevende en bestuurlijke functies.</t>
  </si>
  <si>
    <t>Conventional | Gestructureerd: Je hebt de voorkeur om gestructureerde, duidelijke werkzaamheden te doen. Werken volgens een methode en/of systeem zal als prettig worden ervaren. Passende beroepen zijn te vinden in de ambtelijke dan wel de  administratieve sector.</t>
  </si>
  <si>
    <t xml:space="preserve">De Mensgerichte cultuur
Een mensgerichte bedrijfscultuur staat centraal in het welzijn, de ontwikkeling en de betrokkenheid van medewerkers als kernwaarden van de organisatie. Het is een omgeving waarin de behoeften en het geluk van werknemers prioriteit hebben. Belangrijke kenmerken van deze cultuur zijn:
Focus op welzijn en ontwikkeling: De organisatie zet zich in voor het welzijn en de groei van haar medewerkers, zowel professioneel als persoonlijk.
Open communicatie en respectvolle relaties: Er is veel aandacht voor transparante en open communicatie, waarbij respectvolle relaties tussen collega's en leidinggevenden worden gestimuleerd.
Gezonde werk-privébalans: Er wordt actief gewerkt aan het bevorderen van een gezonde balans tussen werk en privéleven voor alle medewerkers.
Empathische en ondersteunende leiderschap: Leiders tonen empathie en ondersteunen hun teamleden, moedigen hun groei en ontwikkeling aan en creëren een ondersteunende werkomgeving.
Medewerkersparticipatie: Medewerkers worden aangemoedigd om hun stem te laten horen, ideeën te delen en deel te nemen aan besluitvormingsprocessen binnen de organisatie.
Inclusieve cultuur: De organisatie streeft naar een inclusieve omgeving waar diversiteit wordt gewaardeerd en waarin alle medewerkers zich gewaardeerd en betrokken voelen.
Deze cultuur bevordert een positieve werkomgeving waarin medewerkers zich gewaardeerd voelen, gemotiveerd zijn om bij te dragen en zich kunnen ontwikkelen, wat bijdraagt aan het succes en de groei van de organisatie als geheel.
</t>
  </si>
  <si>
    <t>De Innovatieve cultuur
Een innovatieve bedrijfscultuur is een werkomgeving waarin creativiteit, experimenteren en vernieuwing actief worden gestimuleerd. Medewerkers worden aangemoedigd om nieuwe ideeën aan te dragen, buiten de gebaande paden te denken en risico’s te nemen. Fouten maken wordt gezien als een kans om te leren, en samenwerking, flexibiliteit en autonomie staan centraal. Zo ontstaat een cultuur waarin continue verbetering en vooruitgang de norm zijn. Een innovatieve bedrijfscultuur wordt gekenmerkt door:
Stimulering van creativiteit en experimenteren: Medewerkers worden aangemoedigd om nieuwe ideeën en oplossingen te bedenken, en er is ruimte voor het nemen van risico's en het leren van fouten.
Waardering voor vernieuwing: De organisatie waardeert en moedigt vernieuwing aan als een manier om zich te onderscheiden en te groeien.
Open communicatie en samenwerking: Er is een cultuur van openheid waarin teams en afdelingen samenwerken en ideeën delen.
Autonomie en zelfsturing: Medewerkers krijgen de ruimte om autonomie te hebben in hun werk en zelfsturend te zijn in het nastreven van innovatieve projecten.
Leiderschap dat innovatie ondersteunt: Leiders bieden ondersteuning, middelen en creëren een omgeving van continue verbetering en innovatie.
Doelgerichtheid: Het uiteindelijke doel is om voortdurend te evolueren, anticiperen op veranderingen in de markt en nieuwe kansen te benutten om concurrentievoordeel te behalen.
Deze cultuur moedigt een dynamische en flexibele aanpak aan, waarbij de organisatie zich richt op het vinden van nieuwe manieren om waarde toe te voegen en zich aan te passen aan veranderende marktomstandigheden.</t>
  </si>
  <si>
    <t>De Beheersgerichte cultuur
Een beheersgerichte bedrijfscultuur richt zich op structuur, stabiliteit en efficiëntie. Duidelijke procedures, regels en verantwoordelijkheden vormen de basis van het werk. Medewerkers weten precies wat er van hen verwacht wordt, en het naleven van afspraken en het beheersen van risico’s staan centraal. Deze cultuur bevordert voorspelbaarheid, controle en betrouwbare resultaten, vaak binnen hiërarchische verhoudingen. Belangrijke kenmerken van deze cultuur zijn:
Sterke nadruk op procedures en regels: De organisatie legt veel nadruk op het volgen van vastgestelde procedures en regels.
Centrale rol van controle: Controle staat centraal, waarbij leidinggevenden zich vooral bezighouden met coördinatie en organisatie van activiteiten.
Focus op stabiliteit en voorspelbaarheid: De cultuur richt zich op het handhaven van stabiliteit en het creëren van voorspelbaarheid binnen de organisatie.
Optimalisatie van efficiëntie: Er wordt gestreefd naar het optimaliseren van efficiëntie in operationele processen.
Lange termijn doelen: Lange termijn doelstellingen zijn gericht op het behouden van een stabiele werkomgeving en het waarborgen van consistente operationele resultaten.
Besluitvorming op basis van richtlijnen: Beslissingen worden vaak genomen op basis van bestaande richtlijnen en protocollen om risico's te minimaliseren en consistentie te waarborgen.
Deze cultuur is bedoeld om een gestructureerde en gecontroleerde werkomgeving te bieden, waarbij de focus ligt op stabiliteit, efficiëntie en consistente prestaties volgens vastgestelde normen en procedures.</t>
  </si>
  <si>
    <t xml:space="preserve">De Resultaatgerichte cultuur
Bij de resultaatgerichte cultuur staat een externe oriëntatie centraal, met een sterke focus op overeenkomsten met belanghebbenden en concurrentie met vergelijkbare organisaties. De kernwaarden zijn gericht op productiviteit, meetbare resultaten, winstgevendheid en taakgerichtheid. De organisatie streeft ernaar haar externe positie te versterken om een competitief voordeel te behouden. Belangrijke kenmerken van deze cultuur zijn:
Centrale focus op overeenkomsten met belanghebbenden: De organisatie legt grote nadruk op het voldoen aan de verwachtingen van klanten, partners en andere externe belanghebbenden.
Concurrentiegerichtheid: De organisatie ziet andere vergelijkbare organisaties als concurrenten en streeft ernaar om marktleider te zijn of een sterke positie te behouden in de markt.
Kernwaarden: Productiviteit, het behalen van meetbare resultaten, het realiseren van winst en het efficiënt uitvoeren van taken zijn essentiële elementen.
Strategische agressiviteit: Leidinggevenden nemen beslissingen met een agressieve strategie, gericht op het behalen van het duidelijke doel om marktleider te zijn of een sterke concurrentiepositie te verwerven.
Deze aanpak stimuleert een dynamische omgeving waarin prestaties en resultaten centraal staan, met leidinggevenden die veeleisend zijn en zich richten op het behalen van ambitieuze doelen in de competitieve markt.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</si>
</sst>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charset val="1"/>
      <scheme val="minor"/>
    </font>
    <font>
      <sz val="10"/>
      <color theme="1"/>
      <name val="Calibri"/>
      <family val="2"/>
      <scheme val="minor"/>
    </font>
    <font>
      <b/>
      <sz val="10"/>
      <color theme="0"/>
      <name val="Calibri"/>
      <family val="2"/>
      <scheme val="minor"/>
    </font>
    <font>
      <b/>
      <sz val="10"/>
      <color theme="1"/>
      <name val="Calibri"/>
      <family val="2"/>
      <scheme val="minor"/>
    </font>
    <font>
      <sz val="10"/>
      <name val="Calibri"/>
      <family val="2"/>
      <scheme val="minor"/>
    </font>
    <font>
      <b/>
      <sz val="10"/>
      <name val="Calibri"/>
      <family val="2"/>
      <scheme val="minor"/>
    </font>
    <font>
      <sz val="10"/>
      <color rgb="FF222222"/>
      <name val="Calibri"/>
      <family val="2"/>
      <scheme val="minor"/>
    </font>
    <font>
      <sz val="11"/>
      <color rgb="FF003399"/>
      <name val="Arial"/>
      <family val="2"/>
    </font>
    <font>
      <b/>
      <sz val="11"/>
      <color rgb="FF0099FF"/>
      <name val="Arial"/>
      <family val="2"/>
    </font>
    <font>
      <b/>
      <sz val="10"/>
      <color rgb="FF0099FF"/>
      <name val="Calibri"/>
      <family val="2"/>
      <scheme val="minor"/>
    </font>
    <font>
      <sz val="11"/>
      <name val="Calibri"/>
      <family val="2"/>
      <scheme val="minor"/>
    </font>
    <font>
      <sz val="11"/>
      <color theme="1"/>
      <name val="Calibri"/>
      <family val="2"/>
    </font>
    <font>
      <b/>
      <sz val="11"/>
      <color theme="0"/>
      <name val="Calibri"/>
      <family val="2"/>
      <scheme val="minor"/>
    </font>
    <font>
      <sz val="10"/>
      <color theme="0"/>
      <name val="Calibri"/>
      <family val="2"/>
      <scheme val="minor"/>
    </font>
    <font>
      <b/>
      <sz val="10"/>
      <color rgb="FF222222"/>
      <name val="Calibri"/>
      <family val="2"/>
      <scheme val="minor"/>
    </font>
    <font>
      <sz val="10"/>
      <color rgb="FF000000"/>
      <name val="Calibri"/>
      <family val="2"/>
      <scheme val="minor"/>
    </font>
    <font>
      <u/>
      <sz val="11"/>
      <color theme="10"/>
      <name val="Calibri"/>
      <family val="2"/>
      <charset val="1"/>
      <scheme val="minor"/>
    </font>
  </fonts>
  <fills count="11">
    <fill>
      <patternFill patternType="none"/>
    </fill>
    <fill>
      <patternFill patternType="gray125"/>
    </fill>
    <fill>
      <patternFill patternType="solid">
        <fgColor rgb="FFFFC000"/>
        <bgColor indexed="64"/>
      </patternFill>
    </fill>
    <fill>
      <patternFill patternType="solid">
        <fgColor rgb="FFFFFFFF"/>
        <bgColor indexed="64"/>
      </patternFill>
    </fill>
    <fill>
      <patternFill patternType="solid">
        <fgColor theme="8" tint="0.59999389629810485"/>
        <bgColor indexed="64"/>
      </patternFill>
    </fill>
    <fill>
      <patternFill patternType="solid">
        <fgColor theme="8" tint="0.79998168889431442"/>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0" tint="-0.499984740745262"/>
        <bgColor indexed="64"/>
      </patternFill>
    </fill>
    <fill>
      <patternFill patternType="solid">
        <fgColor theme="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style="thin">
        <color indexed="64"/>
      </top>
      <bottom/>
      <diagonal/>
    </border>
    <border>
      <left/>
      <right style="thin">
        <color indexed="64"/>
      </right>
      <top style="thin">
        <color indexed="64"/>
      </top>
      <bottom/>
      <diagonal/>
    </border>
    <border>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diagonal/>
    </border>
  </borders>
  <cellStyleXfs count="4">
    <xf numFmtId="0" fontId="0" fillId="0" borderId="0"/>
    <xf numFmtId="0" fontId="1" fillId="0" borderId="0"/>
    <xf numFmtId="0" fontId="17" fillId="0" borderId="0"/>
    <xf numFmtId="0" fontId="1" fillId="0" borderId="0"/>
  </cellStyleXfs>
  <cellXfs count="149">
    <xf numFmtId="0" fontId="0" fillId="0" borderId="0" xfId="0"/>
    <xf numFmtId="0" fontId="2" fillId="0" borderId="1" xfId="0" applyFont="1" applyBorder="1"/>
    <xf numFmtId="0" fontId="2" fillId="0" borderId="2" xfId="0" applyFont="1" applyBorder="1"/>
    <xf numFmtId="0" fontId="4" fillId="0" borderId="1" xfId="0" applyFont="1" applyBorder="1" applyAlignment="1">
      <alignment horizontal="center"/>
    </xf>
    <xf numFmtId="0" fontId="7" fillId="0" borderId="1" xfId="0" applyFont="1" applyBorder="1" applyAlignment="1">
      <alignment vertical="top"/>
    </xf>
    <xf numFmtId="0" fontId="7" fillId="0" borderId="1" xfId="0" applyFont="1" applyBorder="1"/>
    <xf numFmtId="0" fontId="2" fillId="0" borderId="0" xfId="0" applyFont="1" applyAlignment="1">
      <alignment horizontal="center"/>
    </xf>
    <xf numFmtId="0" fontId="6" fillId="2" borderId="1" xfId="0" applyFont="1" applyFill="1" applyBorder="1" applyAlignment="1">
      <alignment horizontal="center"/>
    </xf>
    <xf numFmtId="0" fontId="8" fillId="0" borderId="0" xfId="0" applyFont="1" applyAlignment="1">
      <alignment horizontal="left" wrapText="1"/>
    </xf>
    <xf numFmtId="0" fontId="9" fillId="0" borderId="0" xfId="0" applyFont="1" applyAlignment="1">
      <alignment wrapText="1"/>
    </xf>
    <xf numFmtId="0" fontId="5" fillId="0" borderId="0" xfId="0" applyFont="1"/>
    <xf numFmtId="0" fontId="2" fillId="0" borderId="3" xfId="0" applyFont="1" applyBorder="1" applyAlignment="1">
      <alignment horizontal="center"/>
    </xf>
    <xf numFmtId="0" fontId="5" fillId="0" borderId="1" xfId="0" applyFont="1" applyBorder="1" applyAlignment="1">
      <alignment vertical="top" wrapText="1"/>
    </xf>
    <xf numFmtId="0" fontId="5" fillId="0" borderId="1" xfId="0" applyFont="1" applyBorder="1" applyAlignment="1">
      <alignment horizontal="left" vertical="top" wrapText="1"/>
    </xf>
    <xf numFmtId="0" fontId="11" fillId="0" borderId="0" xfId="0" applyFont="1" applyAlignment="1">
      <alignment horizontal="left" vertical="top" wrapText="1"/>
    </xf>
    <xf numFmtId="0" fontId="11" fillId="0" borderId="0" xfId="0" applyFont="1" applyAlignment="1">
      <alignment vertical="top" wrapText="1"/>
    </xf>
    <xf numFmtId="0" fontId="0" fillId="0" borderId="1" xfId="0" applyBorder="1" applyAlignment="1">
      <alignment vertical="top" wrapText="1"/>
    </xf>
    <xf numFmtId="0" fontId="5" fillId="5" borderId="1" xfId="0" applyFont="1" applyFill="1" applyBorder="1" applyAlignment="1">
      <alignment horizontal="center"/>
    </xf>
    <xf numFmtId="0" fontId="5" fillId="0" borderId="1" xfId="0" applyFont="1" applyBorder="1" applyAlignment="1">
      <alignment horizontal="center"/>
    </xf>
    <xf numFmtId="0" fontId="5" fillId="4" borderId="1" xfId="0" applyFont="1" applyFill="1" applyBorder="1" applyAlignment="1">
      <alignment horizontal="center"/>
    </xf>
    <xf numFmtId="0" fontId="5" fillId="6" borderId="1" xfId="0" applyFont="1" applyFill="1" applyBorder="1" applyAlignment="1">
      <alignment horizontal="center"/>
    </xf>
    <xf numFmtId="0" fontId="5" fillId="7" borderId="1" xfId="0" applyFont="1" applyFill="1" applyBorder="1" applyAlignment="1">
      <alignment horizontal="center"/>
    </xf>
    <xf numFmtId="0" fontId="14" fillId="0" borderId="1" xfId="0" applyFont="1" applyBorder="1" applyAlignment="1">
      <alignment horizontal="center"/>
    </xf>
    <xf numFmtId="0" fontId="14" fillId="8" borderId="1" xfId="0" applyFont="1" applyFill="1" applyBorder="1" applyAlignment="1">
      <alignment horizontal="center"/>
    </xf>
    <xf numFmtId="0" fontId="5" fillId="0" borderId="2" xfId="0" applyFont="1" applyBorder="1" applyAlignment="1">
      <alignment horizontal="left" vertical="top" wrapText="1"/>
    </xf>
    <xf numFmtId="0" fontId="2" fillId="0" borderId="14" xfId="0" applyFont="1" applyBorder="1" applyAlignment="1">
      <alignment horizontal="left" vertical="top" wrapText="1"/>
    </xf>
    <xf numFmtId="0" fontId="4" fillId="0" borderId="0" xfId="0" applyFont="1"/>
    <xf numFmtId="0" fontId="4" fillId="0" borderId="0" xfId="0" applyFont="1" applyAlignment="1">
      <alignment horizontal="center" vertical="top" wrapText="1"/>
    </xf>
    <xf numFmtId="0" fontId="0" fillId="0" borderId="0" xfId="0" applyAlignment="1">
      <alignment horizontal="left" vertical="top" wrapText="1"/>
    </xf>
    <xf numFmtId="0" fontId="0" fillId="0" borderId="0" xfId="0" applyAlignment="1">
      <alignment vertical="top" wrapText="1"/>
    </xf>
    <xf numFmtId="0" fontId="0" fillId="0" borderId="2" xfId="0" applyBorder="1" applyAlignment="1">
      <alignment vertical="top" wrapText="1"/>
    </xf>
    <xf numFmtId="0" fontId="4" fillId="0" borderId="0" xfId="0" applyFont="1" applyAlignment="1">
      <alignment vertical="top"/>
    </xf>
    <xf numFmtId="0" fontId="0" fillId="0" borderId="0" xfId="0" applyAlignment="1">
      <alignment vertical="top"/>
    </xf>
    <xf numFmtId="0" fontId="12" fillId="0" borderId="15" xfId="0" applyFont="1" applyBorder="1" applyAlignment="1">
      <alignment horizontal="justify" vertical="top"/>
    </xf>
    <xf numFmtId="0" fontId="0" fillId="0" borderId="3" xfId="0" applyBorder="1" applyAlignment="1">
      <alignment vertical="top" wrapText="1"/>
    </xf>
    <xf numFmtId="0" fontId="2" fillId="0" borderId="1" xfId="0" applyFont="1" applyBorder="1" applyAlignment="1">
      <alignment vertical="top"/>
    </xf>
    <xf numFmtId="0" fontId="2" fillId="0" borderId="1" xfId="0" applyFont="1" applyBorder="1" applyAlignment="1">
      <alignment horizontal="left" vertical="top"/>
    </xf>
    <xf numFmtId="0" fontId="2" fillId="0" borderId="10" xfId="0" applyFont="1" applyBorder="1" applyAlignment="1">
      <alignment horizontal="left" vertical="top"/>
    </xf>
    <xf numFmtId="0" fontId="2" fillId="0" borderId="11" xfId="0" applyFont="1" applyBorder="1" applyAlignment="1">
      <alignment horizontal="left" vertical="top"/>
    </xf>
    <xf numFmtId="0" fontId="7" fillId="3" borderId="1" xfId="0" applyFont="1" applyFill="1" applyBorder="1" applyAlignment="1">
      <alignment vertical="top"/>
    </xf>
    <xf numFmtId="0" fontId="2" fillId="0" borderId="1" xfId="0" applyFont="1" applyBorder="1" applyAlignment="1">
      <alignment horizontal="center"/>
    </xf>
    <xf numFmtId="0" fontId="7" fillId="0" borderId="3" xfId="0" applyFont="1" applyBorder="1" applyAlignment="1">
      <alignment vertical="top"/>
    </xf>
    <xf numFmtId="1" fontId="5" fillId="0" borderId="11" xfId="0" applyNumberFormat="1" applyFont="1" applyBorder="1" applyAlignment="1">
      <alignment horizontal="center"/>
    </xf>
    <xf numFmtId="1" fontId="5" fillId="0" borderId="12" xfId="0" applyNumberFormat="1" applyFont="1" applyBorder="1" applyAlignment="1">
      <alignment horizontal="center"/>
    </xf>
    <xf numFmtId="1" fontId="4" fillId="2" borderId="12" xfId="0" applyNumberFormat="1" applyFont="1" applyFill="1" applyBorder="1" applyAlignment="1">
      <alignment horizontal="center"/>
    </xf>
    <xf numFmtId="1" fontId="2" fillId="0" borderId="12" xfId="0" applyNumberFormat="1" applyFont="1" applyBorder="1" applyAlignment="1">
      <alignment horizontal="center"/>
    </xf>
    <xf numFmtId="1" fontId="4" fillId="2" borderId="1" xfId="0" applyNumberFormat="1" applyFont="1" applyFill="1" applyBorder="1" applyAlignment="1">
      <alignment horizontal="center"/>
    </xf>
    <xf numFmtId="0" fontId="2" fillId="0" borderId="9" xfId="0" applyFont="1" applyBorder="1"/>
    <xf numFmtId="0" fontId="2" fillId="0" borderId="10" xfId="0" applyFont="1" applyBorder="1"/>
    <xf numFmtId="49" fontId="2" fillId="0" borderId="1" xfId="0" applyNumberFormat="1" applyFont="1" applyBorder="1" applyAlignment="1">
      <alignment wrapText="1"/>
    </xf>
    <xf numFmtId="0" fontId="7" fillId="0" borderId="12" xfId="0" applyFont="1" applyBorder="1" applyAlignment="1">
      <alignment vertical="top"/>
    </xf>
    <xf numFmtId="0" fontId="4" fillId="2" borderId="2" xfId="0" applyFont="1" applyFill="1" applyBorder="1" applyAlignment="1">
      <alignment horizontal="center"/>
    </xf>
    <xf numFmtId="49" fontId="4" fillId="2" borderId="1" xfId="0" applyNumberFormat="1" applyFont="1" applyFill="1" applyBorder="1" applyAlignment="1">
      <alignment horizontal="center"/>
    </xf>
    <xf numFmtId="49" fontId="6" fillId="2" borderId="1" xfId="0" applyNumberFormat="1" applyFont="1" applyFill="1" applyBorder="1" applyAlignment="1">
      <alignment horizontal="center" vertical="center" textRotation="180"/>
    </xf>
    <xf numFmtId="0" fontId="6" fillId="2" borderId="1" xfId="0" applyFont="1" applyFill="1" applyBorder="1" applyAlignment="1">
      <alignment horizontal="center" vertical="center" textRotation="180"/>
    </xf>
    <xf numFmtId="0" fontId="6" fillId="2" borderId="2" xfId="0" applyFont="1" applyFill="1" applyBorder="1" applyAlignment="1">
      <alignment horizontal="center" vertical="center" textRotation="180"/>
    </xf>
    <xf numFmtId="0" fontId="2" fillId="0" borderId="0" xfId="0" applyFont="1"/>
    <xf numFmtId="49" fontId="0" fillId="0" borderId="1" xfId="0" applyNumberFormat="1" applyBorder="1" applyAlignment="1">
      <alignment vertical="top" wrapText="1"/>
    </xf>
    <xf numFmtId="0" fontId="3" fillId="10" borderId="1" xfId="0" applyFont="1" applyFill="1" applyBorder="1" applyAlignment="1">
      <alignment horizontal="center" vertical="top"/>
    </xf>
    <xf numFmtId="49" fontId="3" fillId="10" borderId="9" xfId="0" applyNumberFormat="1" applyFont="1" applyFill="1" applyBorder="1" applyAlignment="1">
      <alignment horizontal="center"/>
    </xf>
    <xf numFmtId="0" fontId="3" fillId="10" borderId="2" xfId="0" applyFont="1" applyFill="1" applyBorder="1" applyAlignment="1">
      <alignment horizontal="center" vertical="top"/>
    </xf>
    <xf numFmtId="0" fontId="4" fillId="10" borderId="7" xfId="0" applyFont="1" applyFill="1" applyBorder="1"/>
    <xf numFmtId="0" fontId="15" fillId="10" borderId="0" xfId="0" applyFont="1" applyFill="1" applyAlignment="1">
      <alignment vertical="top"/>
    </xf>
    <xf numFmtId="0" fontId="15" fillId="10" borderId="8" xfId="0" applyFont="1" applyFill="1" applyBorder="1" applyAlignment="1">
      <alignment vertical="top"/>
    </xf>
    <xf numFmtId="0" fontId="4" fillId="10" borderId="1" xfId="0" applyFont="1" applyFill="1" applyBorder="1"/>
    <xf numFmtId="0" fontId="15" fillId="10" borderId="1" xfId="0" applyFont="1" applyFill="1" applyBorder="1"/>
    <xf numFmtId="0" fontId="15" fillId="10" borderId="1" xfId="0" applyFont="1" applyFill="1" applyBorder="1" applyAlignment="1">
      <alignment vertical="top"/>
    </xf>
    <xf numFmtId="0" fontId="3" fillId="10" borderId="0" xfId="0" applyFont="1" applyFill="1" applyAlignment="1">
      <alignment vertical="center"/>
    </xf>
    <xf numFmtId="0" fontId="3" fillId="10" borderId="7" xfId="0" applyFont="1" applyFill="1" applyBorder="1"/>
    <xf numFmtId="1" fontId="3" fillId="10" borderId="10" xfId="0" applyNumberFormat="1" applyFont="1" applyFill="1" applyBorder="1" applyAlignment="1">
      <alignment vertical="center"/>
    </xf>
    <xf numFmtId="0" fontId="2" fillId="10" borderId="7" xfId="0" applyFont="1" applyFill="1" applyBorder="1"/>
    <xf numFmtId="0" fontId="2" fillId="10" borderId="7" xfId="0" applyFont="1" applyFill="1" applyBorder="1" applyAlignment="1">
      <alignment horizontal="center"/>
    </xf>
    <xf numFmtId="0" fontId="4" fillId="10" borderId="15" xfId="0" applyFont="1" applyFill="1" applyBorder="1"/>
    <xf numFmtId="0" fontId="4" fillId="10" borderId="0" xfId="0" applyFont="1" applyFill="1"/>
    <xf numFmtId="0" fontId="6" fillId="10" borderId="1" xfId="0" applyFont="1" applyFill="1" applyBorder="1" applyAlignment="1">
      <alignment horizontal="center"/>
    </xf>
    <xf numFmtId="0" fontId="3" fillId="10" borderId="4" xfId="0" applyFont="1" applyFill="1" applyBorder="1" applyAlignment="1">
      <alignment horizontal="center" vertical="center"/>
    </xf>
    <xf numFmtId="0" fontId="13" fillId="10" borderId="1" xfId="0" applyFont="1" applyFill="1" applyBorder="1" applyAlignment="1">
      <alignment horizontal="center" vertical="center"/>
    </xf>
    <xf numFmtId="0" fontId="0" fillId="0" borderId="6" xfId="0" applyBorder="1" applyAlignment="1">
      <alignment vertical="top" wrapText="1"/>
    </xf>
    <xf numFmtId="49" fontId="2" fillId="0" borderId="1" xfId="0" applyNumberFormat="1" applyFont="1" applyBorder="1" applyAlignment="1">
      <alignment vertical="top" wrapText="1"/>
    </xf>
    <xf numFmtId="0" fontId="3" fillId="10" borderId="5" xfId="0" applyFont="1" applyFill="1" applyBorder="1" applyAlignment="1">
      <alignment horizontal="center"/>
    </xf>
    <xf numFmtId="0" fontId="2" fillId="0" borderId="2" xfId="0" applyFont="1" applyBorder="1" applyAlignment="1">
      <alignment horizontal="left" vertical="top" wrapText="1"/>
    </xf>
    <xf numFmtId="0" fontId="2" fillId="0" borderId="3" xfId="0" applyFont="1" applyBorder="1" applyAlignment="1">
      <alignment horizontal="left" vertical="top"/>
    </xf>
    <xf numFmtId="0" fontId="4" fillId="2" borderId="14" xfId="0" applyFont="1" applyFill="1" applyBorder="1" applyAlignment="1">
      <alignment horizontal="center"/>
    </xf>
    <xf numFmtId="0" fontId="3" fillId="10" borderId="9" xfId="0" applyFont="1" applyFill="1" applyBorder="1" applyAlignment="1">
      <alignment horizontal="center" vertical="center"/>
    </xf>
    <xf numFmtId="0" fontId="4" fillId="10" borderId="0" xfId="0" applyFont="1" applyFill="1" applyAlignment="1">
      <alignment horizontal="center"/>
    </xf>
    <xf numFmtId="0" fontId="3" fillId="10" borderId="2" xfId="0" applyFont="1" applyFill="1" applyBorder="1" applyAlignment="1">
      <alignment horizontal="center" vertical="center"/>
    </xf>
    <xf numFmtId="0" fontId="4" fillId="2" borderId="1" xfId="0" applyFont="1" applyFill="1" applyBorder="1" applyAlignment="1">
      <alignment horizontal="center" vertical="center"/>
    </xf>
    <xf numFmtId="0" fontId="2" fillId="0" borderId="1" xfId="0" applyFont="1" applyBorder="1" applyAlignment="1">
      <alignment horizontal="left" vertical="top" wrapText="1"/>
    </xf>
    <xf numFmtId="0" fontId="4" fillId="0" borderId="1" xfId="0" applyFont="1" applyBorder="1" applyAlignment="1">
      <alignment horizontal="center" vertical="center"/>
    </xf>
    <xf numFmtId="0" fontId="3" fillId="10" borderId="1" xfId="0" applyFont="1" applyFill="1" applyBorder="1" applyAlignment="1">
      <alignment horizontal="center"/>
    </xf>
    <xf numFmtId="0" fontId="4" fillId="0" borderId="0" xfId="0" applyFont="1" applyAlignment="1">
      <alignment horizontal="center"/>
    </xf>
    <xf numFmtId="0" fontId="3" fillId="10" borderId="2" xfId="0" applyFont="1" applyFill="1" applyBorder="1" applyAlignment="1">
      <alignment horizontal="center"/>
    </xf>
    <xf numFmtId="0" fontId="4" fillId="2" borderId="2" xfId="0" applyFont="1" applyFill="1" applyBorder="1" applyAlignment="1">
      <alignment horizontal="center" vertical="center"/>
    </xf>
    <xf numFmtId="0" fontId="4" fillId="2" borderId="1" xfId="0" applyFont="1" applyFill="1" applyBorder="1" applyAlignment="1">
      <alignment horizontal="center"/>
    </xf>
    <xf numFmtId="0" fontId="3" fillId="10" borderId="1" xfId="0" applyFont="1" applyFill="1" applyBorder="1" applyAlignment="1">
      <alignment horizontal="center" vertical="center"/>
    </xf>
    <xf numFmtId="0" fontId="4" fillId="2" borderId="1" xfId="0" applyFont="1" applyFill="1" applyBorder="1" applyAlignment="1">
      <alignment horizontal="center" vertical="center" wrapText="1"/>
    </xf>
    <xf numFmtId="0" fontId="3" fillId="10" borderId="3" xfId="0" applyFont="1" applyFill="1" applyBorder="1" applyAlignment="1">
      <alignment horizontal="center" vertical="center"/>
    </xf>
    <xf numFmtId="0" fontId="4" fillId="10" borderId="15" xfId="0" applyFont="1" applyFill="1" applyBorder="1" applyAlignment="1">
      <alignment horizontal="center"/>
    </xf>
    <xf numFmtId="0" fontId="4" fillId="10" borderId="1" xfId="0" applyFont="1" applyFill="1" applyBorder="1" applyAlignment="1">
      <alignment horizontal="center"/>
    </xf>
    <xf numFmtId="0" fontId="4" fillId="10" borderId="15" xfId="0" applyFont="1" applyFill="1" applyBorder="1" applyAlignment="1">
      <alignment horizontal="center"/>
    </xf>
    <xf numFmtId="0" fontId="0" fillId="0" borderId="15" xfId="0" applyBorder="1"/>
    <xf numFmtId="0" fontId="4" fillId="2" borderId="1" xfId="0" applyFont="1" applyFill="1" applyBorder="1" applyAlignment="1">
      <alignment horizontal="center" vertical="center"/>
    </xf>
    <xf numFmtId="0" fontId="0" fillId="0" borderId="4" xfId="0" applyBorder="1"/>
    <xf numFmtId="0" fontId="0" fillId="0" borderId="3" xfId="0" applyBorder="1"/>
    <xf numFmtId="0" fontId="2" fillId="0" borderId="1" xfId="0" applyFont="1" applyBorder="1" applyAlignment="1">
      <alignment horizontal="left" vertical="top" wrapText="1"/>
    </xf>
    <xf numFmtId="0" fontId="4" fillId="0" borderId="1" xfId="0" applyFont="1" applyBorder="1" applyAlignment="1">
      <alignment horizontal="center" vertical="center"/>
    </xf>
    <xf numFmtId="0" fontId="2" fillId="0" borderId="1" xfId="0" applyFont="1" applyBorder="1" applyAlignment="1">
      <alignment vertical="center"/>
    </xf>
    <xf numFmtId="0" fontId="2" fillId="0" borderId="1" xfId="0" applyFont="1" applyBorder="1" applyAlignment="1">
      <alignment vertical="top" wrapText="1"/>
    </xf>
    <xf numFmtId="0" fontId="3" fillId="10" borderId="1" xfId="0" applyFont="1" applyFill="1" applyBorder="1" applyAlignment="1">
      <alignment horizontal="center"/>
    </xf>
    <xf numFmtId="0" fontId="0" fillId="0" borderId="13" xfId="0" applyBorder="1"/>
    <xf numFmtId="0" fontId="0" fillId="0" borderId="14" xfId="0" applyBorder="1"/>
    <xf numFmtId="0" fontId="2" fillId="0" borderId="1" xfId="0" applyFont="1" applyBorder="1" applyAlignment="1">
      <alignment horizontal="left"/>
    </xf>
    <xf numFmtId="0" fontId="4" fillId="0" borderId="0" xfId="0" applyFont="1" applyAlignment="1">
      <alignment horizontal="center"/>
    </xf>
    <xf numFmtId="0" fontId="2" fillId="0" borderId="0" xfId="0" applyFont="1" applyAlignment="1">
      <alignment horizontal="center"/>
    </xf>
    <xf numFmtId="0" fontId="10" fillId="9" borderId="1" xfId="0" applyFont="1" applyFill="1" applyBorder="1" applyAlignment="1">
      <alignment horizontal="center" wrapText="1"/>
    </xf>
    <xf numFmtId="0" fontId="0" fillId="0" borderId="5" xfId="0" applyBorder="1"/>
    <xf numFmtId="0" fontId="0" fillId="0" borderId="6" xfId="0" applyBorder="1"/>
    <xf numFmtId="0" fontId="0" fillId="0" borderId="10" xfId="0" applyBorder="1"/>
    <xf numFmtId="0" fontId="5" fillId="0" borderId="0" xfId="0" applyFont="1"/>
    <xf numFmtId="0" fontId="0" fillId="0" borderId="11" xfId="0" applyBorder="1"/>
    <xf numFmtId="0" fontId="0" fillId="0" borderId="7" xfId="0" applyBorder="1"/>
    <xf numFmtId="0" fontId="0" fillId="0" borderId="8" xfId="0" applyBorder="1"/>
    <xf numFmtId="0" fontId="3" fillId="10" borderId="2" xfId="0" applyFont="1" applyFill="1" applyBorder="1" applyAlignment="1">
      <alignment horizontal="center"/>
    </xf>
    <xf numFmtId="0" fontId="5" fillId="0" borderId="1" xfId="0" applyFont="1" applyBorder="1" applyAlignment="1">
      <alignment horizontal="center" vertical="center"/>
    </xf>
    <xf numFmtId="0" fontId="4" fillId="2" borderId="2" xfId="0" applyFont="1" applyFill="1" applyBorder="1" applyAlignment="1">
      <alignment horizontal="center" vertical="center"/>
    </xf>
    <xf numFmtId="0" fontId="4" fillId="2" borderId="1" xfId="0" applyFont="1" applyFill="1" applyBorder="1" applyAlignment="1">
      <alignment horizontal="center"/>
    </xf>
    <xf numFmtId="0" fontId="3" fillId="10" borderId="1" xfId="0" applyFont="1" applyFill="1" applyBorder="1" applyAlignment="1">
      <alignment horizontal="center" vertical="center"/>
    </xf>
    <xf numFmtId="0" fontId="4" fillId="0" borderId="7" xfId="0" applyFont="1" applyBorder="1" applyAlignment="1">
      <alignment horizontal="center"/>
    </xf>
    <xf numFmtId="0" fontId="2" fillId="0" borderId="0" xfId="0" applyFont="1"/>
    <xf numFmtId="0" fontId="16" fillId="0" borderId="1" xfId="0" applyFont="1" applyBorder="1" applyAlignment="1">
      <alignment horizontal="left" vertical="top" wrapText="1"/>
    </xf>
    <xf numFmtId="0" fontId="4" fillId="2" borderId="1" xfId="0" applyFont="1" applyFill="1" applyBorder="1" applyAlignment="1">
      <alignment horizontal="center" vertical="center" wrapText="1"/>
    </xf>
    <xf numFmtId="0" fontId="3" fillId="10" borderId="0" xfId="0" applyFont="1" applyFill="1" applyAlignment="1">
      <alignment horizontal="center" vertical="center"/>
    </xf>
    <xf numFmtId="0" fontId="4" fillId="10" borderId="4" xfId="0" applyFont="1" applyFill="1" applyBorder="1" applyAlignment="1">
      <alignment horizontal="center"/>
    </xf>
    <xf numFmtId="0" fontId="4" fillId="0" borderId="0" xfId="0" applyFont="1"/>
    <xf numFmtId="0" fontId="3" fillId="10" borderId="3" xfId="0" applyFont="1" applyFill="1" applyBorder="1" applyAlignment="1">
      <alignment horizontal="center" vertical="center"/>
    </xf>
    <xf numFmtId="0" fontId="3" fillId="10" borderId="1" xfId="0" applyFont="1" applyFill="1" applyBorder="1" applyAlignment="1">
      <alignment horizontal="left" vertical="top" wrapText="1"/>
    </xf>
    <xf numFmtId="0" fontId="7" fillId="0" borderId="1" xfId="0" applyFont="1" applyBorder="1" applyAlignment="1">
      <alignment horizontal="left" vertical="top" wrapText="1"/>
    </xf>
    <xf numFmtId="0" fontId="4" fillId="10" borderId="3" xfId="0" applyFont="1" applyFill="1" applyBorder="1" applyAlignment="1">
      <alignment horizontal="center"/>
    </xf>
    <xf numFmtId="1" fontId="3" fillId="10" borderId="9" xfId="0" applyNumberFormat="1" applyFont="1" applyFill="1" applyBorder="1" applyAlignment="1">
      <alignment horizontal="center" vertical="center"/>
    </xf>
    <xf numFmtId="49" fontId="14" fillId="10" borderId="1" xfId="0" applyNumberFormat="1" applyFont="1" applyFill="1" applyBorder="1" applyAlignment="1">
      <alignment horizontal="left" vertical="top" wrapText="1"/>
    </xf>
    <xf numFmtId="0" fontId="14" fillId="10" borderId="1" xfId="0" applyFont="1" applyFill="1" applyBorder="1" applyAlignment="1">
      <alignment horizontal="left" vertical="top" wrapText="1"/>
    </xf>
    <xf numFmtId="0" fontId="3" fillId="10" borderId="15" xfId="0" applyFont="1" applyFill="1" applyBorder="1" applyAlignment="1">
      <alignment horizontal="center" vertical="center"/>
    </xf>
    <xf numFmtId="1" fontId="3" fillId="10" borderId="10" xfId="0" applyNumberFormat="1" applyFont="1" applyFill="1" applyBorder="1" applyAlignment="1">
      <alignment horizontal="center" vertical="center"/>
    </xf>
    <xf numFmtId="0" fontId="4" fillId="10" borderId="8" xfId="0" applyFont="1" applyFill="1" applyBorder="1" applyAlignment="1">
      <alignment horizontal="center"/>
    </xf>
    <xf numFmtId="0" fontId="13" fillId="10" borderId="5" xfId="0" applyFont="1" applyFill="1" applyBorder="1" applyAlignment="1">
      <alignment horizontal="center" vertical="top"/>
    </xf>
    <xf numFmtId="0" fontId="0" fillId="0" borderId="2" xfId="0" applyBorder="1" applyAlignment="1">
      <alignment horizontal="left" vertical="top" wrapText="1"/>
    </xf>
    <xf numFmtId="0" fontId="13" fillId="10" borderId="1" xfId="0" applyFont="1" applyFill="1" applyBorder="1" applyAlignment="1">
      <alignment horizontal="center" vertical="top"/>
    </xf>
    <xf numFmtId="0" fontId="0" fillId="0" borderId="1" xfId="0" applyBorder="1" applyAlignment="1">
      <alignment horizontal="center" vertical="top" wrapText="1"/>
    </xf>
    <xf numFmtId="0" fontId="12" fillId="0" borderId="1" xfId="0" applyFont="1" applyBorder="1" applyAlignment="1">
      <alignment horizontal="left" vertical="top" wrapText="1"/>
    </xf>
  </cellXfs>
  <cellStyles count="4">
    <cellStyle name="Hyperlink 3" xfId="2" xr:uid="{00000000-0005-0000-0000-000002000000}"/>
    <cellStyle name="Normal" xfId="0" builtinId="0"/>
    <cellStyle name="Standaard 6 2" xfId="3" xr:uid="{00000000-0005-0000-0000-000003000000}"/>
    <cellStyle name="Standaard 7" xfId="1" xr:uid="{00000000-0005-0000-0000-000001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_rels/drawing3.xml.rels><?xml version="1.0" encoding="UTF-8" standalone="yes"?>
<Relationships xmlns="http://schemas.openxmlformats.org/package/2006/relationships"><Relationship Id="rId1" Type="http://schemas.openxmlformats.org/officeDocument/2006/relationships/image" Target="../media/image3.jpeg"/></Relationships>
</file>

<file path=xl/drawings/_rels/drawing4.xml.rels><?xml version="1.0" encoding="UTF-8" standalone="yes"?>
<Relationships xmlns="http://schemas.openxmlformats.org/package/2006/relationships"><Relationship Id="rId1" Type="http://schemas.openxmlformats.org/officeDocument/2006/relationships/image" Target="../media/image4.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295275</xdr:colOff>
      <xdr:row>0</xdr:row>
      <xdr:rowOff>931367</xdr:rowOff>
    </xdr:to>
    <xdr:pic>
      <xdr:nvPicPr>
        <xdr:cNvPr id="2" name="Afbeelding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stretch>
          <a:fillRect/>
        </a:stretch>
      </xdr:blipFill>
      <xdr:spPr>
        <a:xfrm>
          <a:off x="0" y="1"/>
          <a:ext cx="1000125" cy="931366"/>
        </a:xfrm>
        <a:prstGeom prst="rect">
          <a:avLst/>
        </a:prstGeom>
        <a:ln>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16564</xdr:colOff>
      <xdr:row>63</xdr:row>
      <xdr:rowOff>16565</xdr:rowOff>
    </xdr:from>
    <xdr:to>
      <xdr:col>7</xdr:col>
      <xdr:colOff>0</xdr:colOff>
      <xdr:row>64</xdr:row>
      <xdr:rowOff>1722783</xdr:rowOff>
    </xdr:to>
    <xdr:pic>
      <xdr:nvPicPr>
        <xdr:cNvPr id="3" name="Afbeelding 2" descr="BFP.jpg">
          <a:extLst>
            <a:ext uri="{FF2B5EF4-FFF2-40B4-BE49-F238E27FC236}">
              <a16:creationId xmlns:a16="http://schemas.microsoft.com/office/drawing/2014/main" id="{00000000-0008-0000-0100-000003000000}"/>
            </a:ext>
          </a:extLst>
        </xdr:cNvPr>
        <xdr:cNvPicPr>
          <a:picLocks noChangeAspect="1"/>
        </xdr:cNvPicPr>
      </xdr:nvPicPr>
      <xdr:blipFill>
        <a:blip xmlns:r="http://schemas.openxmlformats.org/officeDocument/2006/relationships" r:embed="rId1" cstate="print"/>
        <a:stretch>
          <a:fillRect/>
        </a:stretch>
      </xdr:blipFill>
      <xdr:spPr>
        <a:xfrm>
          <a:off x="8638760" y="10452652"/>
          <a:ext cx="6899414" cy="5441674"/>
        </a:xfrm>
        <a:prstGeom prst="rect">
          <a:avLst/>
        </a:prstGeom>
        <a:ln>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22</xdr:row>
      <xdr:rowOff>30480</xdr:rowOff>
    </xdr:from>
    <xdr:to>
      <xdr:col>1</xdr:col>
      <xdr:colOff>5284470</xdr:colOff>
      <xdr:row>44</xdr:row>
      <xdr:rowOff>41910</xdr:rowOff>
    </xdr:to>
    <xdr:pic>
      <xdr:nvPicPr>
        <xdr:cNvPr id="3" name="Afbeelding 2">
          <a:extLst>
            <a:ext uri="{FF2B5EF4-FFF2-40B4-BE49-F238E27FC236}">
              <a16:creationId xmlns:a16="http://schemas.microsoft.com/office/drawing/2014/main" id="{00000000-0008-0000-0400-000003000000}"/>
            </a:ext>
          </a:extLst>
        </xdr:cNvPr>
        <xdr:cNvPicPr>
          <a:picLocks noChangeAspect="1"/>
        </xdr:cNvPicPr>
      </xdr:nvPicPr>
      <xdr:blipFill>
        <a:blip xmlns:r="http://schemas.openxmlformats.org/officeDocument/2006/relationships" r:embed="rId1"/>
        <a:stretch>
          <a:fillRect/>
        </a:stretch>
      </xdr:blipFill>
      <xdr:spPr>
        <a:xfrm>
          <a:off x="0" y="3878580"/>
          <a:ext cx="5848350" cy="3867150"/>
        </a:xfrm>
        <a:prstGeom prst="rect">
          <a:avLst/>
        </a:prstGeom>
        <a:ln>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11</xdr:row>
      <xdr:rowOff>7620</xdr:rowOff>
    </xdr:from>
    <xdr:to>
      <xdr:col>2</xdr:col>
      <xdr:colOff>0</xdr:colOff>
      <xdr:row>38</xdr:row>
      <xdr:rowOff>137160</xdr:rowOff>
    </xdr:to>
    <xdr:pic>
      <xdr:nvPicPr>
        <xdr:cNvPr id="2" name="Afbeelding 1">
          <a:extLst>
            <a:ext uri="{FF2B5EF4-FFF2-40B4-BE49-F238E27FC236}">
              <a16:creationId xmlns:a16="http://schemas.microsoft.com/office/drawing/2014/main" id="{00000000-0008-0000-0500-000002000000}"/>
            </a:ext>
          </a:extLst>
        </xdr:cNvPr>
        <xdr:cNvPicPr>
          <a:picLocks noChangeAspect="1"/>
        </xdr:cNvPicPr>
      </xdr:nvPicPr>
      <xdr:blipFill>
        <a:blip xmlns:r="http://schemas.openxmlformats.org/officeDocument/2006/relationships" r:embed="rId1"/>
        <a:stretch>
          <a:fillRect/>
        </a:stretch>
      </xdr:blipFill>
      <xdr:spPr>
        <a:xfrm>
          <a:off x="0" y="5090160"/>
          <a:ext cx="6461760" cy="4861560"/>
        </a:xfrm>
        <a:prstGeom prst="rect">
          <a:avLst/>
        </a:prstGeom>
        <a:ln>
          <a:prstDash val="solid"/>
        </a:ln>
      </xdr:spPr>
    </xdr:pic>
    <xdr:clientData/>
  </xdr:twoCellAnchor>
</xdr:wsDr>
</file>

<file path=xl/theme/theme1.xml><?xml version="1.0" encoding="utf-8"?>
<a:theme xmlns:a="http://schemas.openxmlformats.org/drawingml/2006/main" name="Kantoorthema">
  <a:themeElements>
    <a:clrScheme name="Kantoor">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Kantoor">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Kantoor">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46"/>
  <sheetViews>
    <sheetView workbookViewId="0">
      <pane xSplit="1" ySplit="2" topLeftCell="B3" activePane="bottomRight" state="frozen"/>
      <selection pane="topRight" activeCell="B1" sqref="B1"/>
      <selection pane="bottomLeft" activeCell="A3" sqref="A3"/>
      <selection pane="bottomRight" activeCell="A2" sqref="A2"/>
    </sheetView>
  </sheetViews>
  <sheetFormatPr defaultColWidth="9.109375" defaultRowHeight="13.8" x14ac:dyDescent="0.3"/>
  <cols>
    <col min="1" max="1" width="10.5546875" style="56" bestFit="1" customWidth="1"/>
    <col min="2" max="2" width="35.6640625" style="56" bestFit="1" customWidth="1"/>
    <col min="3" max="3" width="48.88671875" style="56" bestFit="1" customWidth="1"/>
    <col min="4" max="7" width="9.109375" style="56" customWidth="1"/>
    <col min="8" max="16384" width="9.109375" style="56"/>
  </cols>
  <sheetData>
    <row r="1" spans="1:3" ht="83.25" customHeight="1" x14ac:dyDescent="0.3">
      <c r="A1" s="108" t="s">
        <v>19</v>
      </c>
      <c r="B1" s="109"/>
      <c r="C1" s="110"/>
    </row>
    <row r="2" spans="1:3" x14ac:dyDescent="0.3">
      <c r="A2" s="89" t="s">
        <v>20</v>
      </c>
      <c r="B2" s="89" t="s">
        <v>21</v>
      </c>
      <c r="C2" s="89" t="s">
        <v>1</v>
      </c>
    </row>
    <row r="3" spans="1:3" x14ac:dyDescent="0.3">
      <c r="A3" s="101" t="s">
        <v>22</v>
      </c>
      <c r="B3" s="105" t="s">
        <v>23</v>
      </c>
      <c r="C3" s="104" t="s">
        <v>24</v>
      </c>
    </row>
    <row r="4" spans="1:3" x14ac:dyDescent="0.3">
      <c r="A4" s="102"/>
      <c r="B4" s="102"/>
      <c r="C4" s="102"/>
    </row>
    <row r="5" spans="1:3" x14ac:dyDescent="0.3">
      <c r="A5" s="103"/>
      <c r="B5" s="103"/>
      <c r="C5" s="103"/>
    </row>
    <row r="6" spans="1:3" x14ac:dyDescent="0.3">
      <c r="A6" s="101" t="s">
        <v>25</v>
      </c>
      <c r="B6" s="105" t="s">
        <v>26</v>
      </c>
      <c r="C6" s="104" t="s">
        <v>27</v>
      </c>
    </row>
    <row r="7" spans="1:3" x14ac:dyDescent="0.3">
      <c r="A7" s="102"/>
      <c r="B7" s="102"/>
      <c r="C7" s="102"/>
    </row>
    <row r="8" spans="1:3" x14ac:dyDescent="0.3">
      <c r="A8" s="103"/>
      <c r="B8" s="103"/>
      <c r="C8" s="103"/>
    </row>
    <row r="9" spans="1:3" x14ac:dyDescent="0.3">
      <c r="A9" s="101" t="s">
        <v>28</v>
      </c>
      <c r="B9" s="105" t="s">
        <v>29</v>
      </c>
      <c r="C9" s="104" t="s">
        <v>30</v>
      </c>
    </row>
    <row r="10" spans="1:3" x14ac:dyDescent="0.3">
      <c r="A10" s="102"/>
      <c r="B10" s="102"/>
      <c r="C10" s="102"/>
    </row>
    <row r="11" spans="1:3" x14ac:dyDescent="0.3">
      <c r="A11" s="103"/>
      <c r="B11" s="103"/>
      <c r="C11" s="103"/>
    </row>
    <row r="12" spans="1:3" x14ac:dyDescent="0.3">
      <c r="A12" s="101" t="s">
        <v>31</v>
      </c>
      <c r="B12" s="105" t="s">
        <v>32</v>
      </c>
      <c r="C12" s="104" t="s">
        <v>33</v>
      </c>
    </row>
    <row r="13" spans="1:3" x14ac:dyDescent="0.3">
      <c r="A13" s="102"/>
      <c r="B13" s="102"/>
      <c r="C13" s="102"/>
    </row>
    <row r="14" spans="1:3" x14ac:dyDescent="0.3">
      <c r="A14" s="103"/>
      <c r="B14" s="103"/>
      <c r="C14" s="103"/>
    </row>
    <row r="16" spans="1:3" ht="14.4" x14ac:dyDescent="0.3">
      <c r="A16" s="108" t="s">
        <v>34</v>
      </c>
      <c r="B16" s="109"/>
      <c r="C16" s="110"/>
    </row>
    <row r="17" spans="1:3" x14ac:dyDescent="0.3">
      <c r="A17" s="89" t="s">
        <v>20</v>
      </c>
      <c r="B17" s="89" t="s">
        <v>21</v>
      </c>
      <c r="C17" s="91" t="s">
        <v>1</v>
      </c>
    </row>
    <row r="18" spans="1:3" x14ac:dyDescent="0.3">
      <c r="A18" s="101" t="s">
        <v>35</v>
      </c>
      <c r="B18" s="105" t="s">
        <v>36</v>
      </c>
      <c r="C18" s="107" t="s">
        <v>37</v>
      </c>
    </row>
    <row r="19" spans="1:3" x14ac:dyDescent="0.3">
      <c r="A19" s="103"/>
      <c r="B19" s="103"/>
      <c r="C19" s="103"/>
    </row>
    <row r="20" spans="1:3" x14ac:dyDescent="0.3">
      <c r="A20" s="101" t="s">
        <v>38</v>
      </c>
      <c r="B20" s="105" t="s">
        <v>39</v>
      </c>
      <c r="C20" s="107" t="s">
        <v>40</v>
      </c>
    </row>
    <row r="21" spans="1:3" x14ac:dyDescent="0.3">
      <c r="A21" s="102"/>
      <c r="B21" s="102"/>
      <c r="C21" s="102"/>
    </row>
    <row r="22" spans="1:3" ht="64.5" customHeight="1" x14ac:dyDescent="0.3">
      <c r="A22" s="103"/>
      <c r="B22" s="103"/>
      <c r="C22" s="103"/>
    </row>
    <row r="23" spans="1:3" x14ac:dyDescent="0.3">
      <c r="A23" s="101" t="s">
        <v>41</v>
      </c>
      <c r="B23" s="105" t="s">
        <v>42</v>
      </c>
      <c r="C23" s="107" t="s">
        <v>43</v>
      </c>
    </row>
    <row r="24" spans="1:3" x14ac:dyDescent="0.3">
      <c r="A24" s="103"/>
      <c r="B24" s="103"/>
      <c r="C24" s="103"/>
    </row>
    <row r="25" spans="1:3" x14ac:dyDescent="0.3">
      <c r="A25" s="86" t="s">
        <v>44</v>
      </c>
      <c r="B25" s="88" t="s">
        <v>45</v>
      </c>
      <c r="C25" s="35" t="s">
        <v>46</v>
      </c>
    </row>
    <row r="26" spans="1:3" x14ac:dyDescent="0.3">
      <c r="A26" s="101" t="s">
        <v>47</v>
      </c>
      <c r="B26" s="105" t="s">
        <v>48</v>
      </c>
      <c r="C26" s="107" t="s">
        <v>49</v>
      </c>
    </row>
    <row r="27" spans="1:3" x14ac:dyDescent="0.3">
      <c r="A27" s="102"/>
      <c r="B27" s="102"/>
      <c r="C27" s="102"/>
    </row>
    <row r="28" spans="1:3" x14ac:dyDescent="0.3">
      <c r="A28" s="102"/>
      <c r="B28" s="102"/>
      <c r="C28" s="102"/>
    </row>
    <row r="29" spans="1:3" x14ac:dyDescent="0.3">
      <c r="A29" s="102"/>
      <c r="B29" s="102"/>
      <c r="C29" s="102"/>
    </row>
    <row r="30" spans="1:3" x14ac:dyDescent="0.3">
      <c r="A30" s="102"/>
      <c r="B30" s="102"/>
      <c r="C30" s="102"/>
    </row>
    <row r="31" spans="1:3" x14ac:dyDescent="0.3">
      <c r="A31" s="102"/>
      <c r="B31" s="102"/>
      <c r="C31" s="102"/>
    </row>
    <row r="32" spans="1:3" x14ac:dyDescent="0.3">
      <c r="A32" s="102"/>
      <c r="B32" s="102"/>
      <c r="C32" s="102"/>
    </row>
    <row r="33" spans="1:3" x14ac:dyDescent="0.3">
      <c r="A33" s="102"/>
      <c r="B33" s="102"/>
      <c r="C33" s="102"/>
    </row>
    <row r="34" spans="1:3" x14ac:dyDescent="0.3">
      <c r="A34" s="102"/>
      <c r="B34" s="102"/>
      <c r="C34" s="102"/>
    </row>
    <row r="35" spans="1:3" x14ac:dyDescent="0.3">
      <c r="A35" s="102"/>
      <c r="B35" s="102"/>
      <c r="C35" s="102"/>
    </row>
    <row r="36" spans="1:3" x14ac:dyDescent="0.3">
      <c r="A36" s="102"/>
      <c r="B36" s="102"/>
      <c r="C36" s="102"/>
    </row>
    <row r="37" spans="1:3" x14ac:dyDescent="0.3">
      <c r="A37" s="102"/>
      <c r="B37" s="102"/>
      <c r="C37" s="102"/>
    </row>
    <row r="38" spans="1:3" x14ac:dyDescent="0.3">
      <c r="A38" s="102"/>
      <c r="B38" s="102"/>
      <c r="C38" s="102"/>
    </row>
    <row r="39" spans="1:3" x14ac:dyDescent="0.3">
      <c r="A39" s="103"/>
      <c r="B39" s="103"/>
      <c r="C39" s="103"/>
    </row>
    <row r="40" spans="1:3" x14ac:dyDescent="0.3">
      <c r="A40" s="86" t="s">
        <v>50</v>
      </c>
      <c r="B40" s="88" t="s">
        <v>51</v>
      </c>
      <c r="C40" s="106" t="s">
        <v>52</v>
      </c>
    </row>
    <row r="41" spans="1:3" x14ac:dyDescent="0.3">
      <c r="A41" s="86" t="s">
        <v>53</v>
      </c>
      <c r="B41" s="88" t="s">
        <v>54</v>
      </c>
      <c r="C41" s="102"/>
    </row>
    <row r="42" spans="1:3" x14ac:dyDescent="0.3">
      <c r="A42" s="86" t="s">
        <v>55</v>
      </c>
      <c r="B42" s="88" t="s">
        <v>56</v>
      </c>
      <c r="C42" s="102"/>
    </row>
    <row r="43" spans="1:3" x14ac:dyDescent="0.3">
      <c r="A43" s="86" t="s">
        <v>57</v>
      </c>
      <c r="B43" s="88" t="s">
        <v>58</v>
      </c>
      <c r="C43" s="103"/>
    </row>
    <row r="44" spans="1:3" x14ac:dyDescent="0.3">
      <c r="A44" s="101" t="s">
        <v>59</v>
      </c>
      <c r="B44" s="105" t="s">
        <v>60</v>
      </c>
      <c r="C44" s="107" t="s">
        <v>33</v>
      </c>
    </row>
    <row r="45" spans="1:3" x14ac:dyDescent="0.3">
      <c r="A45" s="102"/>
      <c r="B45" s="102"/>
      <c r="C45" s="102"/>
    </row>
    <row r="46" spans="1:3" x14ac:dyDescent="0.3">
      <c r="A46" s="103"/>
      <c r="B46" s="103"/>
      <c r="C46" s="103"/>
    </row>
  </sheetData>
  <mergeCells count="30">
    <mergeCell ref="C44:C46"/>
    <mergeCell ref="A1:C1"/>
    <mergeCell ref="A3:A5"/>
    <mergeCell ref="B44:B46"/>
    <mergeCell ref="B9:B11"/>
    <mergeCell ref="C18:C19"/>
    <mergeCell ref="C9:C11"/>
    <mergeCell ref="B6:B8"/>
    <mergeCell ref="A44:A46"/>
    <mergeCell ref="B20:B22"/>
    <mergeCell ref="C3:C5"/>
    <mergeCell ref="B3:B5"/>
    <mergeCell ref="C6:C8"/>
    <mergeCell ref="A18:A19"/>
    <mergeCell ref="B26:B39"/>
    <mergeCell ref="C40:C43"/>
    <mergeCell ref="A9:A11"/>
    <mergeCell ref="C23:C24"/>
    <mergeCell ref="A16:C16"/>
    <mergeCell ref="B12:B14"/>
    <mergeCell ref="C20:C22"/>
    <mergeCell ref="A23:A24"/>
    <mergeCell ref="A6:A8"/>
    <mergeCell ref="C26:C39"/>
    <mergeCell ref="A12:A14"/>
    <mergeCell ref="C12:C14"/>
    <mergeCell ref="A26:A39"/>
    <mergeCell ref="B18:B19"/>
    <mergeCell ref="A20:A22"/>
    <mergeCell ref="B23:B24"/>
  </mergeCells>
  <dataValidations count="1">
    <dataValidation type="list" allowBlank="1" showInputMessage="1" showErrorMessage="1" sqref="E28" xr:uid="{00000000-0002-0000-0000-000000000000}">
      <formula1>$C$18:$C$46</formula1>
    </dataValidation>
  </dataValidations>
  <pageMargins left="0.7" right="0.7" top="0.75" bottom="0.75" header="0.3" footer="0.3"/>
  <pageSetup paperSize="9" orientation="portrait" horizontalDpi="4294967293" verticalDpi="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74"/>
  <sheetViews>
    <sheetView zoomScale="115" zoomScaleNormal="115" workbookViewId="0">
      <pane xSplit="1" ySplit="3" topLeftCell="B4" activePane="bottomRight" state="frozen"/>
      <selection pane="topRight" activeCell="B1" sqref="B1"/>
      <selection pane="bottomLeft" activeCell="A2" sqref="A2"/>
      <selection pane="bottomRight"/>
    </sheetView>
  </sheetViews>
  <sheetFormatPr defaultColWidth="9.109375" defaultRowHeight="13.8" x14ac:dyDescent="0.3"/>
  <cols>
    <col min="1" max="1" width="19" style="56" customWidth="1"/>
    <col min="2" max="2" width="110.33203125" style="56" customWidth="1"/>
    <col min="3" max="7" width="20.6640625" style="6" customWidth="1"/>
    <col min="8" max="9" width="9.109375" style="56" customWidth="1"/>
    <col min="10" max="16384" width="9.109375" style="56"/>
  </cols>
  <sheetData>
    <row r="1" spans="1:7" x14ac:dyDescent="0.3">
      <c r="A1" s="26" t="s">
        <v>61</v>
      </c>
      <c r="C1" s="112" t="s">
        <v>62</v>
      </c>
      <c r="D1" s="113"/>
      <c r="E1" s="113"/>
      <c r="F1" s="113"/>
      <c r="G1" s="113"/>
    </row>
    <row r="2" spans="1:7" x14ac:dyDescent="0.3">
      <c r="C2" s="90" t="s">
        <v>63</v>
      </c>
      <c r="D2" s="90" t="s">
        <v>64</v>
      </c>
      <c r="E2" s="90" t="s">
        <v>65</v>
      </c>
      <c r="F2" s="90" t="s">
        <v>66</v>
      </c>
      <c r="G2" s="90" t="s">
        <v>67</v>
      </c>
    </row>
    <row r="3" spans="1:7" x14ac:dyDescent="0.3">
      <c r="A3" s="89" t="s">
        <v>68</v>
      </c>
      <c r="B3" s="58" t="s">
        <v>69</v>
      </c>
      <c r="C3" s="89" t="s">
        <v>70</v>
      </c>
      <c r="D3" s="89" t="s">
        <v>71</v>
      </c>
      <c r="E3" s="89" t="s">
        <v>72</v>
      </c>
      <c r="F3" s="89" t="s">
        <v>73</v>
      </c>
      <c r="G3" s="89" t="s">
        <v>74</v>
      </c>
    </row>
    <row r="4" spans="1:7" x14ac:dyDescent="0.3">
      <c r="A4" s="93">
        <v>1</v>
      </c>
      <c r="B4" s="4" t="s">
        <v>75</v>
      </c>
      <c r="C4" s="17">
        <v>1</v>
      </c>
      <c r="D4" s="18"/>
      <c r="E4" s="18"/>
      <c r="F4" s="18"/>
      <c r="G4" s="22"/>
    </row>
    <row r="5" spans="1:7" x14ac:dyDescent="0.3">
      <c r="A5" s="93">
        <v>2</v>
      </c>
      <c r="B5" s="4" t="s">
        <v>76</v>
      </c>
      <c r="C5" s="18"/>
      <c r="D5" s="19">
        <v>2</v>
      </c>
      <c r="E5" s="18"/>
      <c r="F5" s="18"/>
      <c r="G5" s="22"/>
    </row>
    <row r="6" spans="1:7" x14ac:dyDescent="0.3">
      <c r="A6" s="93">
        <v>3</v>
      </c>
      <c r="B6" s="4" t="s">
        <v>77</v>
      </c>
      <c r="C6" s="18"/>
      <c r="D6" s="18"/>
      <c r="E6" s="20">
        <v>2</v>
      </c>
      <c r="F6" s="18"/>
      <c r="G6" s="22"/>
    </row>
    <row r="7" spans="1:7" x14ac:dyDescent="0.3">
      <c r="A7" s="93">
        <v>4</v>
      </c>
      <c r="B7" s="4" t="s">
        <v>78</v>
      </c>
      <c r="C7" s="18"/>
      <c r="D7" s="18"/>
      <c r="E7" s="18"/>
      <c r="F7" s="21">
        <v>4</v>
      </c>
      <c r="G7" s="22"/>
    </row>
    <row r="8" spans="1:7" x14ac:dyDescent="0.3">
      <c r="A8" s="93">
        <v>5</v>
      </c>
      <c r="B8" s="4" t="s">
        <v>79</v>
      </c>
      <c r="C8" s="18"/>
      <c r="D8" s="18"/>
      <c r="E8" s="18"/>
      <c r="F8" s="18"/>
      <c r="G8" s="23">
        <v>3</v>
      </c>
    </row>
    <row r="9" spans="1:7" x14ac:dyDescent="0.3">
      <c r="A9" s="93">
        <v>6</v>
      </c>
      <c r="B9" s="4" t="s">
        <v>80</v>
      </c>
      <c r="C9" s="17">
        <v>3</v>
      </c>
      <c r="D9" s="18"/>
      <c r="E9" s="18"/>
      <c r="F9" s="18"/>
      <c r="G9" s="22"/>
    </row>
    <row r="10" spans="1:7" x14ac:dyDescent="0.3">
      <c r="A10" s="93">
        <v>7</v>
      </c>
      <c r="B10" s="4" t="s">
        <v>81</v>
      </c>
      <c r="C10" s="18"/>
      <c r="D10" s="19">
        <v>2</v>
      </c>
      <c r="E10" s="18"/>
      <c r="F10" s="18"/>
      <c r="G10" s="22"/>
    </row>
    <row r="11" spans="1:7" x14ac:dyDescent="0.3">
      <c r="A11" s="93">
        <v>8</v>
      </c>
      <c r="B11" s="4" t="s">
        <v>82</v>
      </c>
      <c r="C11" s="18"/>
      <c r="D11" s="18"/>
      <c r="E11" s="20">
        <v>2</v>
      </c>
      <c r="F11" s="18"/>
      <c r="G11" s="22"/>
    </row>
    <row r="12" spans="1:7" x14ac:dyDescent="0.3">
      <c r="A12" s="93">
        <v>9</v>
      </c>
      <c r="B12" s="4" t="s">
        <v>83</v>
      </c>
      <c r="C12" s="18"/>
      <c r="D12" s="18"/>
      <c r="E12" s="18"/>
      <c r="F12" s="21">
        <v>3</v>
      </c>
      <c r="G12" s="22"/>
    </row>
    <row r="13" spans="1:7" x14ac:dyDescent="0.3">
      <c r="A13" s="93">
        <v>10</v>
      </c>
      <c r="B13" s="4" t="s">
        <v>84</v>
      </c>
      <c r="C13" s="18"/>
      <c r="D13" s="18"/>
      <c r="E13" s="18"/>
      <c r="F13" s="18"/>
      <c r="G13" s="23">
        <v>3</v>
      </c>
    </row>
    <row r="14" spans="1:7" x14ac:dyDescent="0.3">
      <c r="A14" s="93">
        <v>11</v>
      </c>
      <c r="B14" s="4" t="s">
        <v>85</v>
      </c>
      <c r="C14" s="17">
        <v>3</v>
      </c>
      <c r="D14" s="18"/>
      <c r="E14" s="18"/>
      <c r="F14" s="18"/>
      <c r="G14" s="22"/>
    </row>
    <row r="15" spans="1:7" x14ac:dyDescent="0.3">
      <c r="A15" s="93">
        <v>12</v>
      </c>
      <c r="B15" s="4" t="s">
        <v>86</v>
      </c>
      <c r="C15" s="18"/>
      <c r="D15" s="19">
        <v>3</v>
      </c>
      <c r="E15" s="18"/>
      <c r="F15" s="18"/>
      <c r="G15" s="22"/>
    </row>
    <row r="16" spans="1:7" x14ac:dyDescent="0.3">
      <c r="A16" s="93">
        <v>13</v>
      </c>
      <c r="B16" s="4" t="s">
        <v>87</v>
      </c>
      <c r="C16" s="18"/>
      <c r="D16" s="18"/>
      <c r="E16" s="20">
        <v>3</v>
      </c>
      <c r="F16" s="18"/>
      <c r="G16" s="22"/>
    </row>
    <row r="17" spans="1:7" x14ac:dyDescent="0.3">
      <c r="A17" s="93">
        <v>14</v>
      </c>
      <c r="B17" s="4" t="s">
        <v>88</v>
      </c>
      <c r="C17" s="18"/>
      <c r="D17" s="18"/>
      <c r="E17" s="18"/>
      <c r="F17" s="21">
        <v>3</v>
      </c>
      <c r="G17" s="22"/>
    </row>
    <row r="18" spans="1:7" x14ac:dyDescent="0.3">
      <c r="A18" s="93">
        <v>15</v>
      </c>
      <c r="B18" s="4" t="s">
        <v>89</v>
      </c>
      <c r="C18" s="18"/>
      <c r="D18" s="18"/>
      <c r="E18" s="18"/>
      <c r="F18" s="18"/>
      <c r="G18" s="23">
        <v>3</v>
      </c>
    </row>
    <row r="19" spans="1:7" x14ac:dyDescent="0.3">
      <c r="A19" s="93">
        <v>16</v>
      </c>
      <c r="B19" s="4" t="s">
        <v>90</v>
      </c>
      <c r="C19" s="17">
        <v>3</v>
      </c>
      <c r="D19" s="18"/>
      <c r="E19" s="18"/>
      <c r="F19" s="18"/>
      <c r="G19" s="22"/>
    </row>
    <row r="20" spans="1:7" x14ac:dyDescent="0.3">
      <c r="A20" s="93">
        <v>17</v>
      </c>
      <c r="B20" s="4" t="s">
        <v>91</v>
      </c>
      <c r="C20" s="18"/>
      <c r="D20" s="19">
        <v>3</v>
      </c>
      <c r="E20" s="18"/>
      <c r="F20" s="18"/>
      <c r="G20" s="22"/>
    </row>
    <row r="21" spans="1:7" x14ac:dyDescent="0.3">
      <c r="A21" s="93">
        <v>18</v>
      </c>
      <c r="B21" s="4" t="s">
        <v>92</v>
      </c>
      <c r="C21" s="18"/>
      <c r="D21" s="18"/>
      <c r="E21" s="20">
        <v>3</v>
      </c>
      <c r="F21" s="18"/>
      <c r="G21" s="22"/>
    </row>
    <row r="22" spans="1:7" x14ac:dyDescent="0.3">
      <c r="A22" s="93">
        <v>19</v>
      </c>
      <c r="B22" s="4" t="s">
        <v>93</v>
      </c>
      <c r="C22" s="18"/>
      <c r="D22" s="18"/>
      <c r="E22" s="18"/>
      <c r="F22" s="21">
        <v>3</v>
      </c>
      <c r="G22" s="22"/>
    </row>
    <row r="23" spans="1:7" x14ac:dyDescent="0.3">
      <c r="A23" s="93">
        <v>20</v>
      </c>
      <c r="B23" s="4" t="s">
        <v>94</v>
      </c>
      <c r="C23" s="18"/>
      <c r="D23" s="18"/>
      <c r="E23" s="18"/>
      <c r="F23" s="18"/>
      <c r="G23" s="23">
        <v>3</v>
      </c>
    </row>
    <row r="24" spans="1:7" x14ac:dyDescent="0.3">
      <c r="A24" s="93">
        <v>21</v>
      </c>
      <c r="B24" s="4" t="s">
        <v>95</v>
      </c>
      <c r="C24" s="17">
        <v>3</v>
      </c>
      <c r="D24" s="18"/>
      <c r="E24" s="18"/>
      <c r="F24" s="18"/>
      <c r="G24" s="22"/>
    </row>
    <row r="25" spans="1:7" x14ac:dyDescent="0.3">
      <c r="A25" s="93">
        <v>22</v>
      </c>
      <c r="B25" s="4" t="s">
        <v>96</v>
      </c>
      <c r="C25" s="18"/>
      <c r="D25" s="19">
        <v>3</v>
      </c>
      <c r="E25" s="18"/>
      <c r="F25" s="18"/>
      <c r="G25" s="22"/>
    </row>
    <row r="26" spans="1:7" x14ac:dyDescent="0.3">
      <c r="A26" s="93">
        <v>23</v>
      </c>
      <c r="B26" s="4" t="s">
        <v>97</v>
      </c>
      <c r="C26" s="18"/>
      <c r="D26" s="18"/>
      <c r="E26" s="20">
        <v>3</v>
      </c>
      <c r="F26" s="18"/>
      <c r="G26" s="22"/>
    </row>
    <row r="27" spans="1:7" x14ac:dyDescent="0.3">
      <c r="A27" s="93">
        <v>24</v>
      </c>
      <c r="B27" s="4" t="s">
        <v>98</v>
      </c>
      <c r="C27" s="18"/>
      <c r="D27" s="18"/>
      <c r="E27" s="18"/>
      <c r="F27" s="21">
        <v>3</v>
      </c>
      <c r="G27" s="22"/>
    </row>
    <row r="28" spans="1:7" x14ac:dyDescent="0.3">
      <c r="A28" s="93">
        <v>25</v>
      </c>
      <c r="B28" s="5" t="s">
        <v>99</v>
      </c>
      <c r="C28" s="18"/>
      <c r="D28" s="18"/>
      <c r="E28" s="18"/>
      <c r="F28" s="18"/>
      <c r="G28" s="23">
        <v>3</v>
      </c>
    </row>
    <row r="29" spans="1:7" x14ac:dyDescent="0.3">
      <c r="A29" s="93">
        <v>26</v>
      </c>
      <c r="B29" s="1" t="s">
        <v>100</v>
      </c>
      <c r="C29" s="17">
        <v>3</v>
      </c>
      <c r="D29" s="18"/>
      <c r="E29" s="18"/>
      <c r="F29" s="18"/>
      <c r="G29" s="22"/>
    </row>
    <row r="30" spans="1:7" x14ac:dyDescent="0.3">
      <c r="A30" s="93">
        <v>27</v>
      </c>
      <c r="B30" s="1" t="s">
        <v>101</v>
      </c>
      <c r="C30" s="18"/>
      <c r="D30" s="19">
        <v>3</v>
      </c>
      <c r="E30" s="18"/>
      <c r="F30" s="18"/>
      <c r="G30" s="22"/>
    </row>
    <row r="31" spans="1:7" x14ac:dyDescent="0.3">
      <c r="A31" s="93">
        <v>28</v>
      </c>
      <c r="B31" s="1" t="s">
        <v>102</v>
      </c>
      <c r="C31" s="18"/>
      <c r="D31" s="18"/>
      <c r="E31" s="20">
        <v>3</v>
      </c>
      <c r="F31" s="18"/>
      <c r="G31" s="22"/>
    </row>
    <row r="32" spans="1:7" x14ac:dyDescent="0.3">
      <c r="A32" s="93">
        <v>29</v>
      </c>
      <c r="B32" s="1" t="s">
        <v>103</v>
      </c>
      <c r="C32" s="18"/>
      <c r="D32" s="18"/>
      <c r="E32" s="18"/>
      <c r="F32" s="21">
        <v>3</v>
      </c>
      <c r="G32" s="22"/>
    </row>
    <row r="33" spans="1:7" x14ac:dyDescent="0.3">
      <c r="A33" s="93">
        <v>30</v>
      </c>
      <c r="B33" s="1" t="s">
        <v>104</v>
      </c>
      <c r="C33" s="18"/>
      <c r="D33" s="18"/>
      <c r="E33" s="18"/>
      <c r="F33" s="18"/>
      <c r="G33" s="23">
        <v>3</v>
      </c>
    </row>
    <row r="34" spans="1:7" x14ac:dyDescent="0.3">
      <c r="A34" s="93">
        <v>31</v>
      </c>
      <c r="B34" s="1" t="s">
        <v>105</v>
      </c>
      <c r="C34" s="17">
        <v>3</v>
      </c>
      <c r="D34" s="18"/>
      <c r="E34" s="18"/>
      <c r="F34" s="18"/>
      <c r="G34" s="22"/>
    </row>
    <row r="35" spans="1:7" x14ac:dyDescent="0.3">
      <c r="A35" s="93">
        <v>32</v>
      </c>
      <c r="B35" s="1" t="s">
        <v>106</v>
      </c>
      <c r="C35" s="18"/>
      <c r="D35" s="19">
        <v>3</v>
      </c>
      <c r="E35" s="18"/>
      <c r="F35" s="18"/>
      <c r="G35" s="22"/>
    </row>
    <row r="36" spans="1:7" x14ac:dyDescent="0.3">
      <c r="A36" s="93">
        <v>33</v>
      </c>
      <c r="B36" s="1" t="s">
        <v>107</v>
      </c>
      <c r="C36" s="18"/>
      <c r="D36" s="18"/>
      <c r="E36" s="20">
        <v>3</v>
      </c>
      <c r="F36" s="18"/>
      <c r="G36" s="22"/>
    </row>
    <row r="37" spans="1:7" x14ac:dyDescent="0.3">
      <c r="A37" s="93">
        <v>34</v>
      </c>
      <c r="B37" s="1" t="s">
        <v>108</v>
      </c>
      <c r="C37" s="18"/>
      <c r="D37" s="18"/>
      <c r="E37" s="18"/>
      <c r="F37" s="21">
        <v>3</v>
      </c>
      <c r="G37" s="22"/>
    </row>
    <row r="38" spans="1:7" x14ac:dyDescent="0.3">
      <c r="A38" s="93">
        <v>35</v>
      </c>
      <c r="B38" s="1" t="s">
        <v>109</v>
      </c>
      <c r="C38" s="18"/>
      <c r="D38" s="18"/>
      <c r="E38" s="18"/>
      <c r="F38" s="18"/>
      <c r="G38" s="23">
        <v>3</v>
      </c>
    </row>
    <row r="39" spans="1:7" x14ac:dyDescent="0.3">
      <c r="A39" s="93">
        <v>36</v>
      </c>
      <c r="B39" s="1" t="s">
        <v>110</v>
      </c>
      <c r="C39" s="17">
        <v>3</v>
      </c>
      <c r="D39" s="18"/>
      <c r="E39" s="18"/>
      <c r="F39" s="18"/>
      <c r="G39" s="22"/>
    </row>
    <row r="40" spans="1:7" x14ac:dyDescent="0.3">
      <c r="A40" s="93">
        <v>37</v>
      </c>
      <c r="B40" s="1" t="s">
        <v>111</v>
      </c>
      <c r="C40" s="18"/>
      <c r="D40" s="19">
        <v>3</v>
      </c>
      <c r="E40" s="18"/>
      <c r="F40" s="18"/>
      <c r="G40" s="22"/>
    </row>
    <row r="41" spans="1:7" x14ac:dyDescent="0.3">
      <c r="A41" s="93">
        <v>38</v>
      </c>
      <c r="B41" s="1" t="s">
        <v>112</v>
      </c>
      <c r="C41" s="18"/>
      <c r="D41" s="18"/>
      <c r="E41" s="20">
        <v>3</v>
      </c>
      <c r="F41" s="18"/>
      <c r="G41" s="22"/>
    </row>
    <row r="42" spans="1:7" x14ac:dyDescent="0.3">
      <c r="A42" s="93">
        <v>39</v>
      </c>
      <c r="B42" s="1" t="s">
        <v>113</v>
      </c>
      <c r="C42" s="18"/>
      <c r="D42" s="18"/>
      <c r="E42" s="18"/>
      <c r="F42" s="21">
        <v>3</v>
      </c>
      <c r="G42" s="22"/>
    </row>
    <row r="43" spans="1:7" x14ac:dyDescent="0.3">
      <c r="A43" s="93">
        <v>40</v>
      </c>
      <c r="B43" s="1" t="s">
        <v>114</v>
      </c>
      <c r="C43" s="18"/>
      <c r="D43" s="18"/>
      <c r="E43" s="18"/>
      <c r="F43" s="18"/>
      <c r="G43" s="23">
        <v>3</v>
      </c>
    </row>
    <row r="44" spans="1:7" x14ac:dyDescent="0.3">
      <c r="A44" s="93">
        <v>41</v>
      </c>
      <c r="B44" s="1" t="s">
        <v>115</v>
      </c>
      <c r="C44" s="17">
        <v>3</v>
      </c>
      <c r="D44" s="18"/>
      <c r="E44" s="18"/>
      <c r="F44" s="18"/>
      <c r="G44" s="22"/>
    </row>
    <row r="45" spans="1:7" x14ac:dyDescent="0.3">
      <c r="A45" s="93">
        <v>42</v>
      </c>
      <c r="B45" s="1" t="s">
        <v>116</v>
      </c>
      <c r="C45" s="18"/>
      <c r="D45" s="19">
        <v>3</v>
      </c>
      <c r="E45" s="18"/>
      <c r="F45" s="18"/>
      <c r="G45" s="22"/>
    </row>
    <row r="46" spans="1:7" x14ac:dyDescent="0.3">
      <c r="A46" s="93">
        <v>43</v>
      </c>
      <c r="B46" s="1" t="s">
        <v>117</v>
      </c>
      <c r="C46" s="18"/>
      <c r="D46" s="18"/>
      <c r="E46" s="20">
        <v>3</v>
      </c>
      <c r="F46" s="18"/>
      <c r="G46" s="22"/>
    </row>
    <row r="47" spans="1:7" x14ac:dyDescent="0.3">
      <c r="A47" s="93">
        <v>44</v>
      </c>
      <c r="B47" s="1" t="s">
        <v>118</v>
      </c>
      <c r="C47" s="18"/>
      <c r="D47" s="18"/>
      <c r="E47" s="18"/>
      <c r="F47" s="21">
        <v>3</v>
      </c>
      <c r="G47" s="22"/>
    </row>
    <row r="48" spans="1:7" x14ac:dyDescent="0.3">
      <c r="A48" s="93">
        <v>45</v>
      </c>
      <c r="B48" s="1" t="s">
        <v>119</v>
      </c>
      <c r="C48" s="18"/>
      <c r="D48" s="18"/>
      <c r="E48" s="18"/>
      <c r="F48" s="18"/>
      <c r="G48" s="23">
        <v>3</v>
      </c>
    </row>
    <row r="49" spans="1:7" x14ac:dyDescent="0.3">
      <c r="A49" s="93">
        <v>46</v>
      </c>
      <c r="B49" s="1" t="s">
        <v>120</v>
      </c>
      <c r="C49" s="17">
        <v>3</v>
      </c>
      <c r="D49" s="18"/>
      <c r="E49" s="18"/>
      <c r="F49" s="18"/>
      <c r="G49" s="22"/>
    </row>
    <row r="50" spans="1:7" x14ac:dyDescent="0.3">
      <c r="A50" s="93">
        <v>47</v>
      </c>
      <c r="B50" s="1" t="s">
        <v>121</v>
      </c>
      <c r="C50" s="18"/>
      <c r="D50" s="19">
        <v>3</v>
      </c>
      <c r="E50" s="18"/>
      <c r="F50" s="18"/>
      <c r="G50" s="22"/>
    </row>
    <row r="51" spans="1:7" x14ac:dyDescent="0.3">
      <c r="A51" s="93">
        <v>48</v>
      </c>
      <c r="B51" s="1" t="s">
        <v>122</v>
      </c>
      <c r="C51" s="18"/>
      <c r="D51" s="18"/>
      <c r="E51" s="20">
        <v>3</v>
      </c>
      <c r="F51" s="18"/>
      <c r="G51" s="22"/>
    </row>
    <row r="52" spans="1:7" x14ac:dyDescent="0.3">
      <c r="A52" s="93">
        <v>49</v>
      </c>
      <c r="B52" s="1" t="s">
        <v>123</v>
      </c>
      <c r="C52" s="18"/>
      <c r="D52" s="18"/>
      <c r="E52" s="18"/>
      <c r="F52" s="21">
        <v>3</v>
      </c>
      <c r="G52" s="22"/>
    </row>
    <row r="53" spans="1:7" x14ac:dyDescent="0.3">
      <c r="A53" s="51">
        <v>50</v>
      </c>
      <c r="B53" s="2" t="s">
        <v>124</v>
      </c>
      <c r="C53" s="18"/>
      <c r="D53" s="18"/>
      <c r="E53" s="18"/>
      <c r="F53" s="18"/>
      <c r="G53" s="23">
        <v>3</v>
      </c>
    </row>
    <row r="54" spans="1:7" ht="14.4" x14ac:dyDescent="0.3">
      <c r="A54" s="108" t="s">
        <v>125</v>
      </c>
      <c r="B54" s="110"/>
      <c r="C54" s="82">
        <f>(20+C4-C9+C14-C19+C24-C29+C34-C39+C44-C49)</f>
        <v>18</v>
      </c>
      <c r="D54" s="93">
        <f>(14-D5+D10-D15+D20-D25+D30-D35+D40+D45+D50)</f>
        <v>20</v>
      </c>
      <c r="E54" s="93">
        <f>(14+E6-E11+E16-E21+E26-E31+E36-E41+E46+E51)</f>
        <v>20</v>
      </c>
      <c r="F54" s="93">
        <f>(38-F7+F12-F17+F22-F27-F32-F37-F42-F47-F52)</f>
        <v>19</v>
      </c>
      <c r="G54" s="93">
        <f>(8+G8-G13+G18-G23+G28-G33+G38+G43+G48+G53)</f>
        <v>20</v>
      </c>
    </row>
    <row r="56" spans="1:7" ht="14.4" x14ac:dyDescent="0.3">
      <c r="A56" s="89" t="s">
        <v>125</v>
      </c>
      <c r="B56" s="89" t="s">
        <v>1</v>
      </c>
      <c r="C56" s="122" t="s">
        <v>126</v>
      </c>
      <c r="D56" s="115"/>
      <c r="E56" s="115"/>
      <c r="F56" s="115"/>
      <c r="G56" s="116"/>
    </row>
    <row r="57" spans="1:7" ht="14.4" x14ac:dyDescent="0.3">
      <c r="A57" s="52" t="s">
        <v>127</v>
      </c>
      <c r="B57" s="3" t="s">
        <v>128</v>
      </c>
      <c r="C57" s="111" t="s">
        <v>129</v>
      </c>
      <c r="D57" s="109"/>
      <c r="E57" s="109"/>
      <c r="F57" s="109"/>
      <c r="G57" s="110"/>
    </row>
    <row r="58" spans="1:7" ht="14.4" x14ac:dyDescent="0.3">
      <c r="A58" s="52" t="s">
        <v>130</v>
      </c>
      <c r="B58" s="3" t="s">
        <v>131</v>
      </c>
      <c r="C58" s="111" t="s">
        <v>132</v>
      </c>
      <c r="D58" s="109"/>
      <c r="E58" s="109"/>
      <c r="F58" s="109"/>
      <c r="G58" s="110"/>
    </row>
    <row r="59" spans="1:7" ht="14.4" x14ac:dyDescent="0.3">
      <c r="A59" s="52" t="s">
        <v>133</v>
      </c>
      <c r="B59" s="3" t="s">
        <v>134</v>
      </c>
      <c r="C59" s="111" t="s">
        <v>135</v>
      </c>
      <c r="D59" s="109"/>
      <c r="E59" s="109"/>
      <c r="F59" s="109"/>
      <c r="G59" s="110"/>
    </row>
    <row r="60" spans="1:7" ht="14.4" x14ac:dyDescent="0.3">
      <c r="A60" s="52" t="s">
        <v>136</v>
      </c>
      <c r="B60" s="3" t="s">
        <v>137</v>
      </c>
      <c r="C60" s="111" t="s">
        <v>138</v>
      </c>
      <c r="D60" s="109"/>
      <c r="E60" s="109"/>
      <c r="F60" s="109"/>
      <c r="G60" s="110"/>
    </row>
    <row r="61" spans="1:7" ht="14.4" x14ac:dyDescent="0.3">
      <c r="A61" s="52" t="s">
        <v>139</v>
      </c>
      <c r="B61" s="3" t="s">
        <v>140</v>
      </c>
      <c r="C61" s="111" t="s">
        <v>141</v>
      </c>
      <c r="D61" s="109"/>
      <c r="E61" s="109"/>
      <c r="F61" s="109"/>
      <c r="G61" s="110"/>
    </row>
    <row r="63" spans="1:7" s="10" customFormat="1" ht="14.4" x14ac:dyDescent="0.3">
      <c r="A63" s="59" t="s">
        <v>142</v>
      </c>
      <c r="B63" s="79" t="s">
        <v>1</v>
      </c>
      <c r="C63" s="108" t="s">
        <v>143</v>
      </c>
      <c r="D63" s="109"/>
      <c r="E63" s="109"/>
      <c r="F63" s="109"/>
      <c r="G63" s="110"/>
    </row>
    <row r="64" spans="1:7" s="10" customFormat="1" ht="294" customHeight="1" x14ac:dyDescent="0.3">
      <c r="A64" s="53" t="s">
        <v>70</v>
      </c>
      <c r="B64" s="13" t="s">
        <v>144</v>
      </c>
      <c r="C64" s="114"/>
      <c r="D64" s="115"/>
      <c r="E64" s="115"/>
      <c r="F64" s="115"/>
      <c r="G64" s="116"/>
    </row>
    <row r="65" spans="1:7" s="10" customFormat="1" ht="279.75" customHeight="1" x14ac:dyDescent="0.3">
      <c r="A65" s="54" t="s">
        <v>145</v>
      </c>
      <c r="B65" s="25" t="s">
        <v>146</v>
      </c>
      <c r="C65" s="117"/>
      <c r="D65" s="118"/>
      <c r="E65" s="118"/>
      <c r="F65" s="118"/>
      <c r="G65" s="100"/>
    </row>
    <row r="66" spans="1:7" s="10" customFormat="1" ht="317.39999999999998" customHeight="1" x14ac:dyDescent="0.3">
      <c r="A66" s="55" t="s">
        <v>72</v>
      </c>
      <c r="B66" s="24" t="s">
        <v>147</v>
      </c>
      <c r="C66" s="117"/>
      <c r="D66" s="118"/>
      <c r="E66" s="118"/>
      <c r="F66" s="118"/>
      <c r="G66" s="100"/>
    </row>
    <row r="67" spans="1:7" s="10" customFormat="1" ht="291.75" customHeight="1" x14ac:dyDescent="0.3">
      <c r="A67" s="54" t="s">
        <v>73</v>
      </c>
      <c r="B67" s="13" t="s">
        <v>148</v>
      </c>
      <c r="C67" s="117"/>
      <c r="D67" s="118"/>
      <c r="E67" s="118"/>
      <c r="F67" s="118"/>
      <c r="G67" s="100"/>
    </row>
    <row r="68" spans="1:7" s="10" customFormat="1" ht="372.6" customHeight="1" x14ac:dyDescent="0.3">
      <c r="A68" s="54" t="s">
        <v>74</v>
      </c>
      <c r="B68" s="12" t="s">
        <v>149</v>
      </c>
      <c r="C68" s="119"/>
      <c r="D68" s="120"/>
      <c r="E68" s="120"/>
      <c r="F68" s="120"/>
      <c r="G68" s="121"/>
    </row>
    <row r="69" spans="1:7" ht="14.4" customHeight="1" x14ac:dyDescent="0.3">
      <c r="C69" s="9"/>
    </row>
    <row r="70" spans="1:7" ht="14.4" customHeight="1" x14ac:dyDescent="0.3">
      <c r="C70" s="8"/>
    </row>
    <row r="71" spans="1:7" ht="14.4" customHeight="1" x14ac:dyDescent="0.3">
      <c r="C71" s="8"/>
    </row>
    <row r="72" spans="1:7" ht="14.4" customHeight="1" x14ac:dyDescent="0.3">
      <c r="C72" s="9"/>
    </row>
    <row r="73" spans="1:7" ht="14.4" customHeight="1" x14ac:dyDescent="0.3">
      <c r="C73" s="8"/>
    </row>
    <row r="74" spans="1:7" ht="14.4" customHeight="1" x14ac:dyDescent="0.3">
      <c r="C74" s="8"/>
    </row>
  </sheetData>
  <mergeCells count="10">
    <mergeCell ref="C63:G63"/>
    <mergeCell ref="C57:G57"/>
    <mergeCell ref="C61:G61"/>
    <mergeCell ref="C64:G68"/>
    <mergeCell ref="C56:G56"/>
    <mergeCell ref="C59:G59"/>
    <mergeCell ref="A54:B54"/>
    <mergeCell ref="C58:G58"/>
    <mergeCell ref="C1:G1"/>
    <mergeCell ref="C60:G60"/>
  </mergeCells>
  <pageMargins left="0.7" right="0.7" top="0.75" bottom="0.75" header="0.3" footer="0.3"/>
  <pageSetup paperSize="9" orientation="portrait" horizontalDpi="429496729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23"/>
  <sheetViews>
    <sheetView workbookViewId="0">
      <pane xSplit="1" ySplit="3" topLeftCell="B4" activePane="bottomRight" state="frozen"/>
      <selection pane="topRight" activeCell="B1" sqref="B1"/>
      <selection pane="bottomLeft" activeCell="A4" sqref="A4"/>
      <selection pane="bottomRight"/>
    </sheetView>
  </sheetViews>
  <sheetFormatPr defaultRowHeight="14.4" x14ac:dyDescent="0.3"/>
  <cols>
    <col min="1" max="1" width="14.88671875" customWidth="1"/>
    <col min="2" max="2" width="64.109375" bestFit="1" customWidth="1"/>
    <col min="3" max="7" width="25.6640625" customWidth="1"/>
  </cols>
  <sheetData>
    <row r="1" spans="1:7" s="56" customFormat="1" ht="13.95" customHeight="1" x14ac:dyDescent="0.3">
      <c r="A1" s="26" t="s">
        <v>150</v>
      </c>
      <c r="B1" s="26"/>
      <c r="C1" s="112" t="s">
        <v>151</v>
      </c>
      <c r="D1" s="128"/>
      <c r="E1" s="128"/>
      <c r="F1" s="128"/>
      <c r="G1" s="128"/>
    </row>
    <row r="2" spans="1:7" s="56" customFormat="1" ht="13.95" customHeight="1" x14ac:dyDescent="0.3">
      <c r="A2" s="26"/>
      <c r="C2" s="127" t="s">
        <v>152</v>
      </c>
      <c r="D2" s="120"/>
      <c r="E2" s="120"/>
      <c r="F2" s="120"/>
      <c r="G2" s="120"/>
    </row>
    <row r="3" spans="1:7" s="56" customFormat="1" ht="13.95" customHeight="1" x14ac:dyDescent="0.3">
      <c r="A3" s="89" t="s">
        <v>68</v>
      </c>
      <c r="B3" s="91" t="s">
        <v>69</v>
      </c>
      <c r="C3" s="89" t="s">
        <v>153</v>
      </c>
      <c r="D3" s="89" t="s">
        <v>154</v>
      </c>
      <c r="E3" s="89" t="s">
        <v>155</v>
      </c>
      <c r="F3" s="89" t="s">
        <v>156</v>
      </c>
      <c r="G3" s="89" t="s">
        <v>157</v>
      </c>
    </row>
    <row r="4" spans="1:7" s="56" customFormat="1" ht="13.95" customHeight="1" x14ac:dyDescent="0.3">
      <c r="A4" s="101">
        <v>1</v>
      </c>
      <c r="B4" s="104" t="s">
        <v>158</v>
      </c>
      <c r="C4" s="123"/>
      <c r="D4" s="123"/>
      <c r="E4" s="123"/>
      <c r="F4" s="123"/>
      <c r="G4" s="123"/>
    </row>
    <row r="5" spans="1:7" s="56" customFormat="1" ht="13.95" customHeight="1" x14ac:dyDescent="0.3">
      <c r="A5" s="102"/>
      <c r="B5" s="103"/>
      <c r="C5" s="102"/>
      <c r="D5" s="102"/>
      <c r="E5" s="102"/>
      <c r="F5" s="102"/>
      <c r="G5" s="102"/>
    </row>
    <row r="6" spans="1:7" s="56" customFormat="1" ht="13.95" customHeight="1" x14ac:dyDescent="0.3">
      <c r="A6" s="103"/>
      <c r="B6" s="36" t="s">
        <v>159</v>
      </c>
      <c r="C6" s="103"/>
      <c r="D6" s="103"/>
      <c r="E6" s="103"/>
      <c r="F6" s="103"/>
      <c r="G6" s="103"/>
    </row>
    <row r="7" spans="1:7" s="56" customFormat="1" ht="13.95" customHeight="1" x14ac:dyDescent="0.3">
      <c r="A7" s="101">
        <v>2</v>
      </c>
      <c r="B7" s="104" t="s">
        <v>160</v>
      </c>
      <c r="C7" s="123"/>
      <c r="D7" s="123"/>
      <c r="E7" s="123"/>
      <c r="F7" s="123"/>
      <c r="G7" s="123"/>
    </row>
    <row r="8" spans="1:7" s="56" customFormat="1" ht="13.95" customHeight="1" x14ac:dyDescent="0.3">
      <c r="A8" s="102"/>
      <c r="B8" s="103"/>
      <c r="C8" s="102"/>
      <c r="D8" s="102"/>
      <c r="E8" s="102"/>
      <c r="F8" s="102"/>
      <c r="G8" s="102"/>
    </row>
    <row r="9" spans="1:7" s="56" customFormat="1" ht="13.95" customHeight="1" x14ac:dyDescent="0.3">
      <c r="A9" s="103"/>
      <c r="B9" s="36" t="s">
        <v>161</v>
      </c>
      <c r="C9" s="103"/>
      <c r="D9" s="103"/>
      <c r="E9" s="103"/>
      <c r="F9" s="103"/>
      <c r="G9" s="103"/>
    </row>
    <row r="10" spans="1:7" s="56" customFormat="1" ht="13.95" customHeight="1" x14ac:dyDescent="0.3">
      <c r="A10" s="101">
        <v>3</v>
      </c>
      <c r="B10" s="104" t="s">
        <v>162</v>
      </c>
      <c r="C10" s="123"/>
      <c r="D10" s="123"/>
      <c r="E10" s="123"/>
      <c r="F10" s="123"/>
      <c r="G10" s="123"/>
    </row>
    <row r="11" spans="1:7" s="56" customFormat="1" ht="13.95" customHeight="1" x14ac:dyDescent="0.3">
      <c r="A11" s="102"/>
      <c r="B11" s="103"/>
      <c r="C11" s="102"/>
      <c r="D11" s="102"/>
      <c r="E11" s="102"/>
      <c r="F11" s="102"/>
      <c r="G11" s="102"/>
    </row>
    <row r="12" spans="1:7" s="56" customFormat="1" ht="13.95" customHeight="1" x14ac:dyDescent="0.3">
      <c r="A12" s="102"/>
      <c r="B12" s="104" t="s">
        <v>163</v>
      </c>
      <c r="C12" s="102"/>
      <c r="D12" s="102"/>
      <c r="E12" s="102"/>
      <c r="F12" s="102"/>
      <c r="G12" s="102"/>
    </row>
    <row r="13" spans="1:7" s="56" customFormat="1" ht="13.95" customHeight="1" x14ac:dyDescent="0.3">
      <c r="A13" s="102"/>
      <c r="B13" s="102"/>
      <c r="C13" s="102"/>
      <c r="D13" s="102"/>
      <c r="E13" s="102"/>
      <c r="F13" s="102"/>
      <c r="G13" s="102"/>
    </row>
    <row r="14" spans="1:7" s="56" customFormat="1" ht="13.95" customHeight="1" x14ac:dyDescent="0.3">
      <c r="A14" s="103"/>
      <c r="B14" s="103"/>
      <c r="C14" s="103"/>
      <c r="D14" s="103"/>
      <c r="E14" s="103"/>
      <c r="F14" s="103"/>
      <c r="G14" s="103"/>
    </row>
    <row r="15" spans="1:7" s="56" customFormat="1" ht="13.95" customHeight="1" x14ac:dyDescent="0.3">
      <c r="A15" s="101">
        <v>4</v>
      </c>
      <c r="B15" s="36" t="s">
        <v>164</v>
      </c>
      <c r="C15" s="123"/>
      <c r="D15" s="123"/>
      <c r="E15" s="123"/>
      <c r="F15" s="123"/>
      <c r="G15" s="123"/>
    </row>
    <row r="16" spans="1:7" s="56" customFormat="1" ht="13.95" customHeight="1" x14ac:dyDescent="0.3">
      <c r="A16" s="102"/>
      <c r="B16" s="104" t="s">
        <v>165</v>
      </c>
      <c r="C16" s="102"/>
      <c r="D16" s="102"/>
      <c r="E16" s="102"/>
      <c r="F16" s="102"/>
      <c r="G16" s="102"/>
    </row>
    <row r="17" spans="1:7" s="56" customFormat="1" ht="13.95" customHeight="1" x14ac:dyDescent="0.3">
      <c r="A17" s="103"/>
      <c r="B17" s="103"/>
      <c r="C17" s="103"/>
      <c r="D17" s="103"/>
      <c r="E17" s="103"/>
      <c r="F17" s="103"/>
      <c r="G17" s="103"/>
    </row>
    <row r="18" spans="1:7" s="56" customFormat="1" ht="13.95" customHeight="1" x14ac:dyDescent="0.3">
      <c r="A18" s="101">
        <v>5</v>
      </c>
      <c r="B18" s="36" t="s">
        <v>166</v>
      </c>
      <c r="C18" s="123"/>
      <c r="D18" s="123"/>
      <c r="E18" s="123"/>
      <c r="F18" s="123"/>
      <c r="G18" s="123"/>
    </row>
    <row r="19" spans="1:7" s="56" customFormat="1" ht="13.95" customHeight="1" x14ac:dyDescent="0.3">
      <c r="A19" s="102"/>
      <c r="B19" s="104" t="s">
        <v>167</v>
      </c>
      <c r="C19" s="102"/>
      <c r="D19" s="102"/>
      <c r="E19" s="102"/>
      <c r="F19" s="102"/>
      <c r="G19" s="102"/>
    </row>
    <row r="20" spans="1:7" s="56" customFormat="1" ht="13.95" customHeight="1" x14ac:dyDescent="0.3">
      <c r="A20" s="103"/>
      <c r="B20" s="103"/>
      <c r="C20" s="103"/>
      <c r="D20" s="103"/>
      <c r="E20" s="103"/>
      <c r="F20" s="103"/>
      <c r="G20" s="103"/>
    </row>
    <row r="21" spans="1:7" s="56" customFormat="1" ht="13.95" customHeight="1" x14ac:dyDescent="0.3">
      <c r="A21" s="101">
        <v>6</v>
      </c>
      <c r="B21" s="104" t="s">
        <v>168</v>
      </c>
      <c r="C21" s="123"/>
      <c r="D21" s="123"/>
      <c r="E21" s="123"/>
      <c r="F21" s="123"/>
      <c r="G21" s="123"/>
    </row>
    <row r="22" spans="1:7" s="56" customFormat="1" ht="13.95" customHeight="1" x14ac:dyDescent="0.3">
      <c r="A22" s="102"/>
      <c r="B22" s="103"/>
      <c r="C22" s="102"/>
      <c r="D22" s="102"/>
      <c r="E22" s="102"/>
      <c r="F22" s="102"/>
      <c r="G22" s="102"/>
    </row>
    <row r="23" spans="1:7" s="56" customFormat="1" ht="13.95" customHeight="1" x14ac:dyDescent="0.3">
      <c r="A23" s="102"/>
      <c r="B23" s="104" t="s">
        <v>169</v>
      </c>
      <c r="C23" s="102"/>
      <c r="D23" s="102"/>
      <c r="E23" s="102"/>
      <c r="F23" s="102"/>
      <c r="G23" s="102"/>
    </row>
    <row r="24" spans="1:7" s="56" customFormat="1" ht="13.95" customHeight="1" x14ac:dyDescent="0.3">
      <c r="A24" s="102"/>
      <c r="B24" s="102"/>
      <c r="C24" s="102"/>
      <c r="D24" s="102"/>
      <c r="E24" s="102"/>
      <c r="F24" s="102"/>
      <c r="G24" s="102"/>
    </row>
    <row r="25" spans="1:7" s="56" customFormat="1" ht="13.95" customHeight="1" x14ac:dyDescent="0.3">
      <c r="A25" s="103"/>
      <c r="B25" s="103"/>
      <c r="C25" s="103"/>
      <c r="D25" s="103"/>
      <c r="E25" s="103"/>
      <c r="F25" s="103"/>
      <c r="G25" s="103"/>
    </row>
    <row r="26" spans="1:7" s="56" customFormat="1" ht="13.95" customHeight="1" x14ac:dyDescent="0.3">
      <c r="A26" s="101">
        <v>7</v>
      </c>
      <c r="B26" s="104" t="s">
        <v>170</v>
      </c>
      <c r="C26" s="123"/>
      <c r="D26" s="123"/>
      <c r="E26" s="123"/>
      <c r="F26" s="123"/>
      <c r="G26" s="123"/>
    </row>
    <row r="27" spans="1:7" s="56" customFormat="1" ht="13.95" customHeight="1" x14ac:dyDescent="0.3">
      <c r="A27" s="102"/>
      <c r="B27" s="103"/>
      <c r="C27" s="102"/>
      <c r="D27" s="102"/>
      <c r="E27" s="102"/>
      <c r="F27" s="102"/>
      <c r="G27" s="102"/>
    </row>
    <row r="28" spans="1:7" s="56" customFormat="1" ht="13.95" customHeight="1" x14ac:dyDescent="0.3">
      <c r="A28" s="102"/>
      <c r="B28" s="104" t="s">
        <v>171</v>
      </c>
      <c r="C28" s="102"/>
      <c r="D28" s="102"/>
      <c r="E28" s="102"/>
      <c r="F28" s="102"/>
      <c r="G28" s="102"/>
    </row>
    <row r="29" spans="1:7" s="56" customFormat="1" ht="13.95" customHeight="1" x14ac:dyDescent="0.3">
      <c r="A29" s="103"/>
      <c r="B29" s="103"/>
      <c r="C29" s="103"/>
      <c r="D29" s="103"/>
      <c r="E29" s="103"/>
      <c r="F29" s="103"/>
      <c r="G29" s="103"/>
    </row>
    <row r="30" spans="1:7" s="56" customFormat="1" ht="13.95" customHeight="1" x14ac:dyDescent="0.3">
      <c r="A30" s="101">
        <v>8</v>
      </c>
      <c r="B30" s="36" t="s">
        <v>172</v>
      </c>
      <c r="C30" s="123"/>
      <c r="D30" s="123"/>
      <c r="E30" s="123"/>
      <c r="F30" s="123"/>
      <c r="G30" s="123"/>
    </row>
    <row r="31" spans="1:7" s="56" customFormat="1" ht="13.95" customHeight="1" x14ac:dyDescent="0.3">
      <c r="A31" s="103"/>
      <c r="B31" s="37" t="s">
        <v>173</v>
      </c>
      <c r="C31" s="103"/>
      <c r="D31" s="103"/>
      <c r="E31" s="103"/>
      <c r="F31" s="103"/>
      <c r="G31" s="103"/>
    </row>
    <row r="32" spans="1:7" s="56" customFormat="1" ht="13.95" customHeight="1" x14ac:dyDescent="0.3">
      <c r="A32" s="101">
        <v>9</v>
      </c>
      <c r="B32" s="36" t="s">
        <v>174</v>
      </c>
      <c r="C32" s="123"/>
      <c r="D32" s="123"/>
      <c r="E32" s="123"/>
      <c r="F32" s="123"/>
      <c r="G32" s="123"/>
    </row>
    <row r="33" spans="1:7" s="56" customFormat="1" ht="13.95" customHeight="1" x14ac:dyDescent="0.3">
      <c r="A33" s="102"/>
      <c r="B33" s="104" t="s">
        <v>175</v>
      </c>
      <c r="C33" s="102"/>
      <c r="D33" s="102"/>
      <c r="E33" s="102"/>
      <c r="F33" s="102"/>
      <c r="G33" s="102"/>
    </row>
    <row r="34" spans="1:7" s="56" customFormat="1" ht="13.95" customHeight="1" x14ac:dyDescent="0.3">
      <c r="A34" s="103"/>
      <c r="B34" s="103"/>
      <c r="C34" s="103"/>
      <c r="D34" s="103"/>
      <c r="E34" s="103"/>
      <c r="F34" s="103"/>
      <c r="G34" s="103"/>
    </row>
    <row r="35" spans="1:7" s="56" customFormat="1" ht="13.95" customHeight="1" x14ac:dyDescent="0.3">
      <c r="A35" s="101">
        <v>10</v>
      </c>
      <c r="B35" s="36" t="s">
        <v>176</v>
      </c>
      <c r="C35" s="123"/>
      <c r="D35" s="123"/>
      <c r="E35" s="123"/>
      <c r="F35" s="123"/>
      <c r="G35" s="123"/>
    </row>
    <row r="36" spans="1:7" s="56" customFormat="1" ht="13.95" customHeight="1" x14ac:dyDescent="0.3">
      <c r="A36" s="103"/>
      <c r="B36" s="37" t="s">
        <v>177</v>
      </c>
      <c r="C36" s="103"/>
      <c r="D36" s="103"/>
      <c r="E36" s="103"/>
      <c r="F36" s="103"/>
      <c r="G36" s="103"/>
    </row>
    <row r="37" spans="1:7" s="56" customFormat="1" ht="13.95" customHeight="1" x14ac:dyDescent="0.3">
      <c r="A37" s="101">
        <v>11</v>
      </c>
      <c r="B37" s="36" t="s">
        <v>178</v>
      </c>
      <c r="C37" s="123"/>
      <c r="D37" s="123"/>
      <c r="E37" s="123"/>
      <c r="F37" s="123"/>
      <c r="G37" s="123"/>
    </row>
    <row r="38" spans="1:7" s="56" customFormat="1" ht="13.95" customHeight="1" x14ac:dyDescent="0.3">
      <c r="A38" s="103"/>
      <c r="B38" s="37" t="s">
        <v>179</v>
      </c>
      <c r="C38" s="103"/>
      <c r="D38" s="103"/>
      <c r="E38" s="103"/>
      <c r="F38" s="103"/>
      <c r="G38" s="103"/>
    </row>
    <row r="39" spans="1:7" s="56" customFormat="1" ht="13.95" customHeight="1" x14ac:dyDescent="0.3">
      <c r="A39" s="101">
        <v>12</v>
      </c>
      <c r="B39" s="36" t="s">
        <v>180</v>
      </c>
      <c r="C39" s="123"/>
      <c r="D39" s="123"/>
      <c r="E39" s="123"/>
      <c r="F39" s="123"/>
      <c r="G39" s="123"/>
    </row>
    <row r="40" spans="1:7" s="56" customFormat="1" ht="13.95" customHeight="1" x14ac:dyDescent="0.3">
      <c r="A40" s="103"/>
      <c r="B40" s="37" t="s">
        <v>181</v>
      </c>
      <c r="C40" s="103"/>
      <c r="D40" s="103"/>
      <c r="E40" s="103"/>
      <c r="F40" s="103"/>
      <c r="G40" s="103"/>
    </row>
    <row r="41" spans="1:7" s="56" customFormat="1" ht="13.95" customHeight="1" x14ac:dyDescent="0.3">
      <c r="A41" s="101">
        <v>13</v>
      </c>
      <c r="B41" s="36" t="s">
        <v>182</v>
      </c>
      <c r="C41" s="123"/>
      <c r="D41" s="123"/>
      <c r="E41" s="123"/>
      <c r="F41" s="123"/>
      <c r="G41" s="123"/>
    </row>
    <row r="42" spans="1:7" s="56" customFormat="1" ht="13.95" customHeight="1" x14ac:dyDescent="0.3">
      <c r="A42" s="103"/>
      <c r="B42" s="37" t="s">
        <v>183</v>
      </c>
      <c r="C42" s="103"/>
      <c r="D42" s="103"/>
      <c r="E42" s="103"/>
      <c r="F42" s="103"/>
      <c r="G42" s="103"/>
    </row>
    <row r="43" spans="1:7" s="56" customFormat="1" ht="13.95" customHeight="1" x14ac:dyDescent="0.3">
      <c r="A43" s="101">
        <v>14</v>
      </c>
      <c r="B43" s="36" t="s">
        <v>184</v>
      </c>
      <c r="C43" s="123"/>
      <c r="D43" s="123"/>
      <c r="E43" s="123"/>
      <c r="F43" s="123"/>
      <c r="G43" s="123"/>
    </row>
    <row r="44" spans="1:7" s="56" customFormat="1" ht="13.95" customHeight="1" x14ac:dyDescent="0.3">
      <c r="A44" s="103"/>
      <c r="B44" s="38" t="s">
        <v>185</v>
      </c>
      <c r="C44" s="103"/>
      <c r="D44" s="103"/>
      <c r="E44" s="103"/>
      <c r="F44" s="103"/>
      <c r="G44" s="103"/>
    </row>
    <row r="45" spans="1:7" s="56" customFormat="1" ht="13.95" customHeight="1" x14ac:dyDescent="0.3">
      <c r="A45" s="101">
        <v>15</v>
      </c>
      <c r="B45" s="36" t="s">
        <v>186</v>
      </c>
      <c r="C45" s="123"/>
      <c r="D45" s="123"/>
      <c r="E45" s="123"/>
      <c r="F45" s="123"/>
      <c r="G45" s="123"/>
    </row>
    <row r="46" spans="1:7" s="56" customFormat="1" ht="13.95" customHeight="1" x14ac:dyDescent="0.3">
      <c r="A46" s="102"/>
      <c r="B46" s="104" t="s">
        <v>187</v>
      </c>
      <c r="C46" s="102"/>
      <c r="D46" s="102"/>
      <c r="E46" s="102"/>
      <c r="F46" s="102"/>
      <c r="G46" s="102"/>
    </row>
    <row r="47" spans="1:7" s="56" customFormat="1" ht="13.95" customHeight="1" x14ac:dyDescent="0.3">
      <c r="A47" s="103"/>
      <c r="B47" s="103"/>
      <c r="C47" s="103"/>
      <c r="D47" s="103"/>
      <c r="E47" s="103"/>
      <c r="F47" s="103"/>
      <c r="G47" s="103"/>
    </row>
    <row r="48" spans="1:7" s="56" customFormat="1" ht="13.95" customHeight="1" x14ac:dyDescent="0.3">
      <c r="A48" s="101">
        <v>16</v>
      </c>
      <c r="B48" s="36" t="s">
        <v>188</v>
      </c>
      <c r="C48" s="123"/>
      <c r="D48" s="123"/>
      <c r="E48" s="123"/>
      <c r="F48" s="123"/>
      <c r="G48" s="123"/>
    </row>
    <row r="49" spans="1:7" s="56" customFormat="1" ht="13.95" customHeight="1" x14ac:dyDescent="0.3">
      <c r="A49" s="103"/>
      <c r="B49" s="38" t="s">
        <v>189</v>
      </c>
      <c r="C49" s="103"/>
      <c r="D49" s="103"/>
      <c r="E49" s="103"/>
      <c r="F49" s="103"/>
      <c r="G49" s="103"/>
    </row>
    <row r="50" spans="1:7" s="56" customFormat="1" ht="12.75" customHeight="1" x14ac:dyDescent="0.3">
      <c r="A50" s="101">
        <v>17</v>
      </c>
      <c r="B50" s="80" t="s">
        <v>190</v>
      </c>
      <c r="C50" s="123"/>
      <c r="D50" s="123"/>
      <c r="E50" s="123"/>
      <c r="F50" s="123"/>
      <c r="G50" s="123"/>
    </row>
    <row r="51" spans="1:7" s="56" customFormat="1" ht="13.95" customHeight="1" x14ac:dyDescent="0.3">
      <c r="A51" s="102"/>
      <c r="B51" s="129" t="s">
        <v>191</v>
      </c>
      <c r="C51" s="102"/>
      <c r="D51" s="102"/>
      <c r="E51" s="102"/>
      <c r="F51" s="102"/>
      <c r="G51" s="102"/>
    </row>
    <row r="52" spans="1:7" s="56" customFormat="1" ht="15" customHeight="1" x14ac:dyDescent="0.3">
      <c r="A52" s="103"/>
      <c r="B52" s="103"/>
      <c r="C52" s="103"/>
      <c r="D52" s="103"/>
      <c r="E52" s="103"/>
      <c r="F52" s="103"/>
      <c r="G52" s="103"/>
    </row>
    <row r="53" spans="1:7" s="56" customFormat="1" ht="13.95" customHeight="1" x14ac:dyDescent="0.3">
      <c r="A53" s="101">
        <v>18</v>
      </c>
      <c r="B53" s="81" t="s">
        <v>192</v>
      </c>
      <c r="C53" s="123"/>
      <c r="D53" s="123"/>
      <c r="E53" s="123"/>
      <c r="F53" s="123"/>
      <c r="G53" s="123"/>
    </row>
    <row r="54" spans="1:7" s="56" customFormat="1" ht="13.95" customHeight="1" x14ac:dyDescent="0.3">
      <c r="A54" s="102"/>
      <c r="B54" s="104" t="s">
        <v>193</v>
      </c>
      <c r="C54" s="102"/>
      <c r="D54" s="102"/>
      <c r="E54" s="102"/>
      <c r="F54" s="102"/>
      <c r="G54" s="102"/>
    </row>
    <row r="55" spans="1:7" s="56" customFormat="1" ht="13.95" customHeight="1" x14ac:dyDescent="0.3">
      <c r="A55" s="103"/>
      <c r="B55" s="103"/>
      <c r="C55" s="103"/>
      <c r="D55" s="103"/>
      <c r="E55" s="103"/>
      <c r="F55" s="103"/>
      <c r="G55" s="103"/>
    </row>
    <row r="56" spans="1:7" s="56" customFormat="1" ht="13.95" customHeight="1" x14ac:dyDescent="0.3">
      <c r="A56" s="101">
        <v>19</v>
      </c>
      <c r="B56" s="104" t="s">
        <v>194</v>
      </c>
      <c r="C56" s="123"/>
      <c r="D56" s="123"/>
      <c r="E56" s="123"/>
      <c r="F56" s="123"/>
      <c r="G56" s="123"/>
    </row>
    <row r="57" spans="1:7" s="56" customFormat="1" ht="13.95" customHeight="1" x14ac:dyDescent="0.3">
      <c r="A57" s="102"/>
      <c r="B57" s="103"/>
      <c r="C57" s="102"/>
      <c r="D57" s="102"/>
      <c r="E57" s="102"/>
      <c r="F57" s="102"/>
      <c r="G57" s="102"/>
    </row>
    <row r="58" spans="1:7" s="56" customFormat="1" ht="13.95" customHeight="1" x14ac:dyDescent="0.3">
      <c r="A58" s="102"/>
      <c r="B58" s="104" t="s">
        <v>195</v>
      </c>
      <c r="C58" s="102"/>
      <c r="D58" s="102"/>
      <c r="E58" s="102"/>
      <c r="F58" s="102"/>
      <c r="G58" s="102"/>
    </row>
    <row r="59" spans="1:7" s="56" customFormat="1" ht="13.95" customHeight="1" x14ac:dyDescent="0.3">
      <c r="A59" s="103"/>
      <c r="B59" s="103"/>
      <c r="C59" s="103"/>
      <c r="D59" s="103"/>
      <c r="E59" s="103"/>
      <c r="F59" s="103"/>
      <c r="G59" s="103"/>
    </row>
    <row r="60" spans="1:7" s="56" customFormat="1" ht="13.95" customHeight="1" x14ac:dyDescent="0.3">
      <c r="A60" s="101">
        <v>20</v>
      </c>
      <c r="B60" s="104" t="s">
        <v>196</v>
      </c>
      <c r="C60" s="123"/>
      <c r="D60" s="123"/>
      <c r="E60" s="123"/>
      <c r="F60" s="123"/>
      <c r="G60" s="123"/>
    </row>
    <row r="61" spans="1:7" s="56" customFormat="1" ht="13.95" customHeight="1" x14ac:dyDescent="0.3">
      <c r="A61" s="102"/>
      <c r="B61" s="103"/>
      <c r="C61" s="102"/>
      <c r="D61" s="102"/>
      <c r="E61" s="102"/>
      <c r="F61" s="102"/>
      <c r="G61" s="102"/>
    </row>
    <row r="62" spans="1:7" s="56" customFormat="1" ht="13.95" customHeight="1" x14ac:dyDescent="0.3">
      <c r="A62" s="102"/>
      <c r="B62" s="104" t="s">
        <v>197</v>
      </c>
      <c r="C62" s="102"/>
      <c r="D62" s="102"/>
      <c r="E62" s="102"/>
      <c r="F62" s="102"/>
      <c r="G62" s="102"/>
    </row>
    <row r="63" spans="1:7" s="56" customFormat="1" ht="13.95" customHeight="1" x14ac:dyDescent="0.3">
      <c r="A63" s="103"/>
      <c r="B63" s="103"/>
      <c r="C63" s="103"/>
      <c r="D63" s="103"/>
      <c r="E63" s="103"/>
      <c r="F63" s="103"/>
      <c r="G63" s="103"/>
    </row>
    <row r="64" spans="1:7" s="56" customFormat="1" ht="13.95" customHeight="1" x14ac:dyDescent="0.3">
      <c r="A64" s="101">
        <v>21</v>
      </c>
      <c r="B64" s="104" t="s">
        <v>198</v>
      </c>
      <c r="C64" s="123"/>
      <c r="D64" s="123"/>
      <c r="E64" s="123"/>
      <c r="F64" s="123"/>
      <c r="G64" s="123"/>
    </row>
    <row r="65" spans="1:7" s="56" customFormat="1" ht="13.95" customHeight="1" x14ac:dyDescent="0.3">
      <c r="A65" s="102"/>
      <c r="B65" s="103"/>
      <c r="C65" s="102"/>
      <c r="D65" s="102"/>
      <c r="E65" s="102"/>
      <c r="F65" s="102"/>
      <c r="G65" s="102"/>
    </row>
    <row r="66" spans="1:7" s="56" customFormat="1" ht="13.95" customHeight="1" x14ac:dyDescent="0.3">
      <c r="A66" s="102"/>
      <c r="B66" s="104" t="s">
        <v>199</v>
      </c>
      <c r="C66" s="102"/>
      <c r="D66" s="102"/>
      <c r="E66" s="102"/>
      <c r="F66" s="102"/>
      <c r="G66" s="102"/>
    </row>
    <row r="67" spans="1:7" s="56" customFormat="1" ht="13.95" customHeight="1" x14ac:dyDescent="0.3">
      <c r="A67" s="103"/>
      <c r="B67" s="103"/>
      <c r="C67" s="103"/>
      <c r="D67" s="103"/>
      <c r="E67" s="103"/>
      <c r="F67" s="103"/>
      <c r="G67" s="103"/>
    </row>
    <row r="68" spans="1:7" s="56" customFormat="1" ht="13.95" customHeight="1" x14ac:dyDescent="0.3">
      <c r="A68" s="101">
        <v>22</v>
      </c>
      <c r="B68" s="104" t="s">
        <v>200</v>
      </c>
      <c r="C68" s="123"/>
      <c r="D68" s="123"/>
      <c r="E68" s="123"/>
      <c r="F68" s="123"/>
      <c r="G68" s="123"/>
    </row>
    <row r="69" spans="1:7" s="56" customFormat="1" ht="13.95" customHeight="1" x14ac:dyDescent="0.3">
      <c r="A69" s="102"/>
      <c r="B69" s="103"/>
      <c r="C69" s="102"/>
      <c r="D69" s="102"/>
      <c r="E69" s="102"/>
      <c r="F69" s="102"/>
      <c r="G69" s="102"/>
    </row>
    <row r="70" spans="1:7" s="56" customFormat="1" ht="13.95" customHeight="1" x14ac:dyDescent="0.3">
      <c r="A70" s="103"/>
      <c r="B70" s="38" t="s">
        <v>201</v>
      </c>
      <c r="C70" s="103"/>
      <c r="D70" s="103"/>
      <c r="E70" s="103"/>
      <c r="F70" s="103"/>
      <c r="G70" s="103"/>
    </row>
    <row r="71" spans="1:7" s="56" customFormat="1" ht="13.95" customHeight="1" x14ac:dyDescent="0.3">
      <c r="A71" s="101">
        <v>23</v>
      </c>
      <c r="B71" s="104" t="s">
        <v>202</v>
      </c>
      <c r="C71" s="123"/>
      <c r="D71" s="123"/>
      <c r="E71" s="123"/>
      <c r="F71" s="123"/>
      <c r="G71" s="123"/>
    </row>
    <row r="72" spans="1:7" s="56" customFormat="1" ht="13.95" customHeight="1" x14ac:dyDescent="0.3">
      <c r="A72" s="102"/>
      <c r="B72" s="103"/>
      <c r="C72" s="102"/>
      <c r="D72" s="102"/>
      <c r="E72" s="102"/>
      <c r="F72" s="102"/>
      <c r="G72" s="102"/>
    </row>
    <row r="73" spans="1:7" s="56" customFormat="1" ht="13.95" customHeight="1" x14ac:dyDescent="0.3">
      <c r="A73" s="102"/>
      <c r="B73" s="104" t="s">
        <v>203</v>
      </c>
      <c r="C73" s="102"/>
      <c r="D73" s="102"/>
      <c r="E73" s="102"/>
      <c r="F73" s="102"/>
      <c r="G73" s="102"/>
    </row>
    <row r="74" spans="1:7" s="56" customFormat="1" ht="13.95" customHeight="1" x14ac:dyDescent="0.3">
      <c r="A74" s="103"/>
      <c r="B74" s="103"/>
      <c r="C74" s="103"/>
      <c r="D74" s="103"/>
      <c r="E74" s="103"/>
      <c r="F74" s="103"/>
      <c r="G74" s="103"/>
    </row>
    <row r="75" spans="1:7" s="56" customFormat="1" ht="13.95" customHeight="1" x14ac:dyDescent="0.3">
      <c r="A75" s="101">
        <v>24</v>
      </c>
      <c r="B75" s="104" t="s">
        <v>204</v>
      </c>
      <c r="C75" s="123"/>
      <c r="D75" s="123"/>
      <c r="E75" s="123"/>
      <c r="F75" s="123"/>
      <c r="G75" s="123"/>
    </row>
    <row r="76" spans="1:7" s="56" customFormat="1" ht="13.95" customHeight="1" x14ac:dyDescent="0.3">
      <c r="A76" s="102"/>
      <c r="B76" s="103"/>
      <c r="C76" s="102"/>
      <c r="D76" s="102"/>
      <c r="E76" s="102"/>
      <c r="F76" s="102"/>
      <c r="G76" s="102"/>
    </row>
    <row r="77" spans="1:7" s="56" customFormat="1" ht="13.95" customHeight="1" x14ac:dyDescent="0.3">
      <c r="A77" s="102"/>
      <c r="B77" s="104" t="s">
        <v>205</v>
      </c>
      <c r="C77" s="102"/>
      <c r="D77" s="102"/>
      <c r="E77" s="102"/>
      <c r="F77" s="102"/>
      <c r="G77" s="102"/>
    </row>
    <row r="78" spans="1:7" s="56" customFormat="1" ht="13.95" customHeight="1" x14ac:dyDescent="0.3">
      <c r="A78" s="103"/>
      <c r="B78" s="103"/>
      <c r="C78" s="103"/>
      <c r="D78" s="103"/>
      <c r="E78" s="103"/>
      <c r="F78" s="103"/>
      <c r="G78" s="103"/>
    </row>
    <row r="79" spans="1:7" s="56" customFormat="1" ht="13.95" customHeight="1" x14ac:dyDescent="0.3">
      <c r="A79" s="101">
        <v>25</v>
      </c>
      <c r="B79" s="104" t="s">
        <v>206</v>
      </c>
      <c r="C79" s="123"/>
      <c r="D79" s="123"/>
      <c r="E79" s="123"/>
      <c r="F79" s="123"/>
      <c r="G79" s="123"/>
    </row>
    <row r="80" spans="1:7" s="56" customFormat="1" ht="13.95" customHeight="1" x14ac:dyDescent="0.3">
      <c r="A80" s="102"/>
      <c r="B80" s="103"/>
      <c r="C80" s="102"/>
      <c r="D80" s="102"/>
      <c r="E80" s="102"/>
      <c r="F80" s="102"/>
      <c r="G80" s="102"/>
    </row>
    <row r="81" spans="1:7" s="56" customFormat="1" ht="13.95" customHeight="1" x14ac:dyDescent="0.3">
      <c r="A81" s="103"/>
      <c r="B81" s="38" t="s">
        <v>207</v>
      </c>
      <c r="C81" s="103"/>
      <c r="D81" s="103"/>
      <c r="E81" s="103"/>
      <c r="F81" s="103"/>
      <c r="G81" s="103"/>
    </row>
    <row r="82" spans="1:7" s="56" customFormat="1" ht="13.95" customHeight="1" x14ac:dyDescent="0.3">
      <c r="A82" s="101">
        <v>26</v>
      </c>
      <c r="B82" s="104" t="s">
        <v>208</v>
      </c>
      <c r="C82" s="123"/>
      <c r="D82" s="123"/>
      <c r="E82" s="123"/>
      <c r="F82" s="123"/>
      <c r="G82" s="123"/>
    </row>
    <row r="83" spans="1:7" s="56" customFormat="1" ht="13.95" customHeight="1" x14ac:dyDescent="0.3">
      <c r="A83" s="102"/>
      <c r="B83" s="103"/>
      <c r="C83" s="102"/>
      <c r="D83" s="102"/>
      <c r="E83" s="102"/>
      <c r="F83" s="102"/>
      <c r="G83" s="102"/>
    </row>
    <row r="84" spans="1:7" s="56" customFormat="1" ht="13.95" customHeight="1" x14ac:dyDescent="0.3">
      <c r="A84" s="102"/>
      <c r="B84" s="104" t="s">
        <v>209</v>
      </c>
      <c r="C84" s="102"/>
      <c r="D84" s="102"/>
      <c r="E84" s="102"/>
      <c r="F84" s="102"/>
      <c r="G84" s="102"/>
    </row>
    <row r="85" spans="1:7" s="56" customFormat="1" ht="13.95" customHeight="1" x14ac:dyDescent="0.3">
      <c r="A85" s="103"/>
      <c r="B85" s="103"/>
      <c r="C85" s="103"/>
      <c r="D85" s="103"/>
      <c r="E85" s="103"/>
      <c r="F85" s="103"/>
      <c r="G85" s="103"/>
    </row>
    <row r="86" spans="1:7" s="56" customFormat="1" ht="13.95" customHeight="1" x14ac:dyDescent="0.3">
      <c r="A86" s="101">
        <v>27</v>
      </c>
      <c r="B86" s="36" t="s">
        <v>210</v>
      </c>
      <c r="C86" s="123"/>
      <c r="D86" s="123"/>
      <c r="E86" s="123"/>
      <c r="F86" s="123"/>
      <c r="G86" s="123"/>
    </row>
    <row r="87" spans="1:7" s="56" customFormat="1" ht="13.95" customHeight="1" x14ac:dyDescent="0.3">
      <c r="A87" s="103"/>
      <c r="B87" s="38" t="s">
        <v>211</v>
      </c>
      <c r="C87" s="103"/>
      <c r="D87" s="103"/>
      <c r="E87" s="103"/>
      <c r="F87" s="103"/>
      <c r="G87" s="103"/>
    </row>
    <row r="88" spans="1:7" s="56" customFormat="1" ht="13.95" customHeight="1" x14ac:dyDescent="0.3">
      <c r="A88" s="101">
        <v>28</v>
      </c>
      <c r="B88" s="104" t="s">
        <v>212</v>
      </c>
      <c r="C88" s="123"/>
      <c r="D88" s="123"/>
      <c r="E88" s="123"/>
      <c r="F88" s="123"/>
      <c r="G88" s="123"/>
    </row>
    <row r="89" spans="1:7" s="56" customFormat="1" ht="13.95" customHeight="1" x14ac:dyDescent="0.3">
      <c r="A89" s="102"/>
      <c r="B89" s="103"/>
      <c r="C89" s="102"/>
      <c r="D89" s="102"/>
      <c r="E89" s="102"/>
      <c r="F89" s="102"/>
      <c r="G89" s="102"/>
    </row>
    <row r="90" spans="1:7" s="56" customFormat="1" ht="13.95" customHeight="1" x14ac:dyDescent="0.3">
      <c r="A90" s="102"/>
      <c r="B90" s="104" t="s">
        <v>213</v>
      </c>
      <c r="C90" s="102"/>
      <c r="D90" s="102"/>
      <c r="E90" s="102"/>
      <c r="F90" s="102"/>
      <c r="G90" s="102"/>
    </row>
    <row r="91" spans="1:7" s="56" customFormat="1" ht="13.95" customHeight="1" x14ac:dyDescent="0.3">
      <c r="A91" s="103"/>
      <c r="B91" s="103"/>
      <c r="C91" s="103"/>
      <c r="D91" s="103"/>
      <c r="E91" s="103"/>
      <c r="F91" s="103"/>
      <c r="G91" s="103"/>
    </row>
    <row r="92" spans="1:7" s="56" customFormat="1" ht="13.95" customHeight="1" x14ac:dyDescent="0.3">
      <c r="A92" s="124">
        <v>29</v>
      </c>
      <c r="B92" s="104" t="s">
        <v>214</v>
      </c>
      <c r="C92" s="123"/>
      <c r="D92" s="123"/>
      <c r="E92" s="123"/>
      <c r="F92" s="123"/>
      <c r="G92" s="123"/>
    </row>
    <row r="93" spans="1:7" s="56" customFormat="1" ht="13.95" customHeight="1" x14ac:dyDescent="0.3">
      <c r="A93" s="102"/>
      <c r="B93" s="103"/>
      <c r="C93" s="102"/>
      <c r="D93" s="102"/>
      <c r="E93" s="102"/>
      <c r="F93" s="102"/>
      <c r="G93" s="102"/>
    </row>
    <row r="94" spans="1:7" s="56" customFormat="1" ht="13.95" customHeight="1" x14ac:dyDescent="0.3">
      <c r="A94" s="102"/>
      <c r="B94" s="104" t="s">
        <v>215</v>
      </c>
      <c r="C94" s="102"/>
      <c r="D94" s="102"/>
      <c r="E94" s="102"/>
      <c r="F94" s="102"/>
      <c r="G94" s="102"/>
    </row>
    <row r="95" spans="1:7" s="56" customFormat="1" ht="13.95" customHeight="1" x14ac:dyDescent="0.3">
      <c r="A95" s="102"/>
      <c r="B95" s="103"/>
      <c r="C95" s="103"/>
      <c r="D95" s="103"/>
      <c r="E95" s="103"/>
      <c r="F95" s="103"/>
      <c r="G95" s="103"/>
    </row>
    <row r="96" spans="1:7" s="56" customFormat="1" ht="13.95" customHeight="1" x14ac:dyDescent="0.3">
      <c r="A96" s="101">
        <v>30</v>
      </c>
      <c r="B96" s="104" t="s">
        <v>216</v>
      </c>
      <c r="C96" s="123"/>
      <c r="D96" s="123"/>
      <c r="E96" s="123"/>
      <c r="F96" s="123"/>
      <c r="G96" s="123"/>
    </row>
    <row r="97" spans="1:7" s="56" customFormat="1" ht="13.95" customHeight="1" x14ac:dyDescent="0.3">
      <c r="A97" s="102"/>
      <c r="B97" s="103"/>
      <c r="C97" s="102"/>
      <c r="D97" s="102"/>
      <c r="E97" s="102"/>
      <c r="F97" s="102"/>
      <c r="G97" s="102"/>
    </row>
    <row r="98" spans="1:7" s="56" customFormat="1" ht="13.95" customHeight="1" x14ac:dyDescent="0.3">
      <c r="A98" s="102"/>
      <c r="B98" s="104" t="s">
        <v>217</v>
      </c>
      <c r="C98" s="102"/>
      <c r="D98" s="102"/>
      <c r="E98" s="102"/>
      <c r="F98" s="102"/>
      <c r="G98" s="102"/>
    </row>
    <row r="99" spans="1:7" s="56" customFormat="1" ht="13.95" customHeight="1" x14ac:dyDescent="0.3">
      <c r="A99" s="103"/>
      <c r="B99" s="103"/>
      <c r="C99" s="103"/>
      <c r="D99" s="103"/>
      <c r="E99" s="103"/>
      <c r="F99" s="103"/>
      <c r="G99" s="103"/>
    </row>
    <row r="100" spans="1:7" s="56" customFormat="1" ht="13.95" customHeight="1" x14ac:dyDescent="0.3">
      <c r="A100" s="126" t="s">
        <v>218</v>
      </c>
      <c r="B100" s="116"/>
      <c r="C100" s="7">
        <f>SUM(C4:C99)</f>
        <v>0</v>
      </c>
      <c r="D100" s="7">
        <f>SUM(D4:D99)</f>
        <v>0</v>
      </c>
      <c r="E100" s="7">
        <f>SUM(E4:E99)</f>
        <v>0</v>
      </c>
      <c r="F100" s="7">
        <f>SUM(F4:F99)</f>
        <v>0</v>
      </c>
      <c r="G100" s="7">
        <f>SUM(G4:G99)</f>
        <v>0</v>
      </c>
    </row>
    <row r="101" spans="1:7" s="56" customFormat="1" ht="13.95" customHeight="1" x14ac:dyDescent="0.3">
      <c r="A101" s="119"/>
      <c r="B101" s="121"/>
      <c r="C101" s="125">
        <f>C100+D100+E100+F100+G100</f>
        <v>0</v>
      </c>
      <c r="D101" s="109"/>
      <c r="E101" s="109"/>
      <c r="F101" s="109"/>
      <c r="G101" s="110"/>
    </row>
    <row r="102" spans="1:7" s="56" customFormat="1" ht="13.95" customHeight="1" x14ac:dyDescent="0.3">
      <c r="A102" s="26"/>
    </row>
    <row r="103" spans="1:7" s="56" customFormat="1" ht="13.95" customHeight="1" x14ac:dyDescent="0.3">
      <c r="A103" s="89" t="s">
        <v>125</v>
      </c>
      <c r="B103" s="89" t="s">
        <v>1</v>
      </c>
      <c r="C103" s="89" t="s">
        <v>153</v>
      </c>
      <c r="D103" s="89" t="s">
        <v>154</v>
      </c>
      <c r="E103" s="89" t="s">
        <v>155</v>
      </c>
      <c r="F103" s="89" t="s">
        <v>156</v>
      </c>
      <c r="G103" s="89" t="s">
        <v>157</v>
      </c>
    </row>
    <row r="104" spans="1:7" s="56" customFormat="1" ht="13.95" customHeight="1" x14ac:dyDescent="0.3">
      <c r="A104" s="93">
        <v>12</v>
      </c>
      <c r="B104" s="105" t="s">
        <v>137</v>
      </c>
      <c r="C104" s="11"/>
      <c r="D104" s="11"/>
      <c r="E104" s="11"/>
      <c r="F104" s="11"/>
      <c r="G104" s="11"/>
    </row>
    <row r="105" spans="1:7" s="56" customFormat="1" ht="13.95" customHeight="1" x14ac:dyDescent="0.3">
      <c r="A105" s="93">
        <v>11</v>
      </c>
      <c r="B105" s="102"/>
      <c r="C105" s="40"/>
      <c r="D105" s="40"/>
      <c r="E105" s="40"/>
      <c r="F105" s="40"/>
      <c r="G105" s="40"/>
    </row>
    <row r="106" spans="1:7" s="56" customFormat="1" ht="13.95" customHeight="1" x14ac:dyDescent="0.3">
      <c r="A106" s="93">
        <v>10</v>
      </c>
      <c r="B106" s="102"/>
      <c r="C106" s="40"/>
      <c r="D106" s="40"/>
      <c r="E106" s="40"/>
      <c r="F106" s="40"/>
      <c r="G106" s="40"/>
    </row>
    <row r="107" spans="1:7" s="56" customFormat="1" ht="13.95" customHeight="1" x14ac:dyDescent="0.3">
      <c r="A107" s="93">
        <v>9</v>
      </c>
      <c r="B107" s="103"/>
      <c r="C107" s="40"/>
      <c r="D107" s="40"/>
      <c r="E107" s="40"/>
      <c r="F107" s="40"/>
      <c r="G107" s="40"/>
    </row>
    <row r="108" spans="1:7" s="56" customFormat="1" ht="15" customHeight="1" x14ac:dyDescent="0.3">
      <c r="A108" s="93">
        <v>8</v>
      </c>
      <c r="B108" s="105" t="s">
        <v>134</v>
      </c>
      <c r="C108" s="40"/>
      <c r="D108" s="40"/>
      <c r="E108" s="40"/>
      <c r="F108" s="40"/>
      <c r="G108" s="40"/>
    </row>
    <row r="109" spans="1:7" s="56" customFormat="1" ht="13.95" customHeight="1" x14ac:dyDescent="0.3">
      <c r="A109" s="93">
        <v>7</v>
      </c>
      <c r="B109" s="102"/>
      <c r="C109" s="40"/>
      <c r="D109" s="40"/>
      <c r="E109" s="40"/>
      <c r="F109" s="40"/>
      <c r="G109" s="40"/>
    </row>
    <row r="110" spans="1:7" s="56" customFormat="1" ht="13.95" customHeight="1" x14ac:dyDescent="0.3">
      <c r="A110" s="93">
        <v>6</v>
      </c>
      <c r="B110" s="102"/>
      <c r="C110" s="40"/>
      <c r="D110" s="40"/>
      <c r="E110" s="40"/>
      <c r="F110" s="40"/>
      <c r="G110" s="40"/>
    </row>
    <row r="111" spans="1:7" s="56" customFormat="1" ht="13.95" customHeight="1" x14ac:dyDescent="0.3">
      <c r="A111" s="93">
        <v>5</v>
      </c>
      <c r="B111" s="103"/>
      <c r="C111" s="40"/>
      <c r="D111" s="40"/>
      <c r="E111" s="40"/>
      <c r="F111" s="40"/>
      <c r="G111" s="40"/>
    </row>
    <row r="112" spans="1:7" s="56" customFormat="1" ht="15" customHeight="1" x14ac:dyDescent="0.3">
      <c r="A112" s="93">
        <v>4</v>
      </c>
      <c r="B112" s="105" t="s">
        <v>131</v>
      </c>
      <c r="C112" s="40"/>
      <c r="D112" s="40"/>
      <c r="E112" s="40"/>
      <c r="F112" s="40"/>
      <c r="G112" s="40"/>
    </row>
    <row r="113" spans="1:7" s="56" customFormat="1" ht="13.95" customHeight="1" x14ac:dyDescent="0.3">
      <c r="A113" s="93">
        <v>3</v>
      </c>
      <c r="B113" s="102"/>
      <c r="C113" s="40"/>
      <c r="D113" s="40"/>
      <c r="E113" s="40"/>
      <c r="F113" s="40"/>
      <c r="G113" s="40"/>
    </row>
    <row r="114" spans="1:7" s="56" customFormat="1" ht="13.95" customHeight="1" x14ac:dyDescent="0.3">
      <c r="A114" s="93">
        <v>2</v>
      </c>
      <c r="B114" s="102"/>
      <c r="C114" s="40"/>
      <c r="D114" s="40"/>
      <c r="E114" s="40"/>
      <c r="F114" s="40"/>
      <c r="G114" s="40"/>
    </row>
    <row r="115" spans="1:7" s="56" customFormat="1" ht="13.95" customHeight="1" x14ac:dyDescent="0.3">
      <c r="A115" s="93">
        <v>1</v>
      </c>
      <c r="B115" s="102"/>
      <c r="C115" s="40"/>
      <c r="D115" s="40"/>
      <c r="E115" s="40"/>
      <c r="F115" s="40"/>
      <c r="G115" s="40"/>
    </row>
    <row r="116" spans="1:7" s="56" customFormat="1" ht="13.95" customHeight="1" x14ac:dyDescent="0.3">
      <c r="A116" s="93">
        <v>0</v>
      </c>
      <c r="B116" s="103"/>
      <c r="C116" s="40"/>
      <c r="D116" s="40"/>
      <c r="E116" s="40"/>
      <c r="F116" s="40"/>
      <c r="G116" s="40"/>
    </row>
    <row r="118" spans="1:7" s="56" customFormat="1" ht="13.95" customHeight="1" x14ac:dyDescent="0.3">
      <c r="A118" s="89" t="s">
        <v>219</v>
      </c>
      <c r="B118" s="89" t="s">
        <v>1</v>
      </c>
    </row>
    <row r="119" spans="1:7" s="56" customFormat="1" ht="54.75" customHeight="1" x14ac:dyDescent="0.3">
      <c r="A119" s="92" t="s">
        <v>220</v>
      </c>
      <c r="B119" s="80" t="s">
        <v>221</v>
      </c>
      <c r="D119" s="29"/>
    </row>
    <row r="120" spans="1:7" s="56" customFormat="1" ht="82.95" customHeight="1" x14ac:dyDescent="0.3">
      <c r="A120" s="92" t="s">
        <v>222</v>
      </c>
      <c r="B120" s="80" t="s">
        <v>223</v>
      </c>
    </row>
    <row r="121" spans="1:7" s="56" customFormat="1" ht="96.6" customHeight="1" x14ac:dyDescent="0.3">
      <c r="A121" s="92" t="s">
        <v>224</v>
      </c>
      <c r="B121" s="80" t="s">
        <v>225</v>
      </c>
    </row>
    <row r="122" spans="1:7" s="56" customFormat="1" ht="110.4" customHeight="1" x14ac:dyDescent="0.3">
      <c r="A122" s="92" t="s">
        <v>226</v>
      </c>
      <c r="B122" s="80" t="s">
        <v>227</v>
      </c>
    </row>
    <row r="123" spans="1:7" ht="82.95" customHeight="1" x14ac:dyDescent="0.3">
      <c r="A123" s="86" t="s">
        <v>228</v>
      </c>
      <c r="B123" s="87" t="s">
        <v>229</v>
      </c>
    </row>
  </sheetData>
  <mergeCells count="221">
    <mergeCell ref="A96:A99"/>
    <mergeCell ref="B66:B67"/>
    <mergeCell ref="F21:F25"/>
    <mergeCell ref="C96:C99"/>
    <mergeCell ref="B104:B107"/>
    <mergeCell ref="C37:C38"/>
    <mergeCell ref="E37:E38"/>
    <mergeCell ref="D35:D36"/>
    <mergeCell ref="A30:A31"/>
    <mergeCell ref="C1:G1"/>
    <mergeCell ref="A86:A87"/>
    <mergeCell ref="B10:B11"/>
    <mergeCell ref="D79:D81"/>
    <mergeCell ref="B19:B20"/>
    <mergeCell ref="D10:D14"/>
    <mergeCell ref="F4:F6"/>
    <mergeCell ref="F10:F14"/>
    <mergeCell ref="D56:D59"/>
    <mergeCell ref="D71:D74"/>
    <mergeCell ref="F56:F59"/>
    <mergeCell ref="E68:E70"/>
    <mergeCell ref="E4:E6"/>
    <mergeCell ref="G75:G78"/>
    <mergeCell ref="B51:B52"/>
    <mergeCell ref="G96:G99"/>
    <mergeCell ref="E15:E17"/>
    <mergeCell ref="G15:G17"/>
    <mergeCell ref="B21:B22"/>
    <mergeCell ref="E71:E74"/>
    <mergeCell ref="G18:G20"/>
    <mergeCell ref="G71:G74"/>
    <mergeCell ref="E43:E44"/>
    <mergeCell ref="D15:D17"/>
    <mergeCell ref="G43:G44"/>
    <mergeCell ref="B62:B63"/>
    <mergeCell ref="C21:C25"/>
    <mergeCell ref="B96:B97"/>
    <mergeCell ref="C26:C29"/>
    <mergeCell ref="B46:B47"/>
    <mergeCell ref="E82:E85"/>
    <mergeCell ref="G82:G85"/>
    <mergeCell ref="E50:E52"/>
    <mergeCell ref="G50:G52"/>
    <mergeCell ref="C35:C36"/>
    <mergeCell ref="E35:E36"/>
    <mergeCell ref="D48:D49"/>
    <mergeCell ref="B88:B89"/>
    <mergeCell ref="G92:G95"/>
    <mergeCell ref="F7:F9"/>
    <mergeCell ref="C2:G2"/>
    <mergeCell ref="A26:A29"/>
    <mergeCell ref="B33:B34"/>
    <mergeCell ref="F68:F70"/>
    <mergeCell ref="F39:F40"/>
    <mergeCell ref="C39:C40"/>
    <mergeCell ref="C48:C49"/>
    <mergeCell ref="C4:C6"/>
    <mergeCell ref="D45:D47"/>
    <mergeCell ref="F18:F20"/>
    <mergeCell ref="F45:F47"/>
    <mergeCell ref="G7:G9"/>
    <mergeCell ref="B4:B5"/>
    <mergeCell ref="A21:A25"/>
    <mergeCell ref="C10:C14"/>
    <mergeCell ref="A53:A55"/>
    <mergeCell ref="B112:B116"/>
    <mergeCell ref="A41:A42"/>
    <mergeCell ref="B73:B74"/>
    <mergeCell ref="B82:B83"/>
    <mergeCell ref="D18:D20"/>
    <mergeCell ref="A100:B101"/>
    <mergeCell ref="C53:C55"/>
    <mergeCell ref="A75:A78"/>
    <mergeCell ref="E60:E63"/>
    <mergeCell ref="E53:E55"/>
    <mergeCell ref="C75:C78"/>
    <mergeCell ref="B98:B99"/>
    <mergeCell ref="C68:C70"/>
    <mergeCell ref="E86:E87"/>
    <mergeCell ref="D41:D42"/>
    <mergeCell ref="A79:A81"/>
    <mergeCell ref="B68:B69"/>
    <mergeCell ref="D50:D52"/>
    <mergeCell ref="E30:E31"/>
    <mergeCell ref="A45:A47"/>
    <mergeCell ref="C45:C47"/>
    <mergeCell ref="D43:D44"/>
    <mergeCell ref="B75:B76"/>
    <mergeCell ref="E96:E99"/>
    <mergeCell ref="G10:G14"/>
    <mergeCell ref="B108:B111"/>
    <mergeCell ref="A7:A9"/>
    <mergeCell ref="E56:E59"/>
    <mergeCell ref="G56:G59"/>
    <mergeCell ref="A39:A40"/>
    <mergeCell ref="D64:D67"/>
    <mergeCell ref="B94:B95"/>
    <mergeCell ref="B7:B8"/>
    <mergeCell ref="B16:B17"/>
    <mergeCell ref="A82:A85"/>
    <mergeCell ref="D32:D34"/>
    <mergeCell ref="F32:F34"/>
    <mergeCell ref="A18:A20"/>
    <mergeCell ref="B71:B72"/>
    <mergeCell ref="A60:A63"/>
    <mergeCell ref="D96:D99"/>
    <mergeCell ref="F26:F29"/>
    <mergeCell ref="A10:A14"/>
    <mergeCell ref="G37:G38"/>
    <mergeCell ref="F41:F42"/>
    <mergeCell ref="F53:F55"/>
    <mergeCell ref="G30:G31"/>
    <mergeCell ref="F43:F44"/>
    <mergeCell ref="C101:G101"/>
    <mergeCell ref="D4:D6"/>
    <mergeCell ref="A48:A49"/>
    <mergeCell ref="E45:E47"/>
    <mergeCell ref="G45:G47"/>
    <mergeCell ref="E92:E95"/>
    <mergeCell ref="B90:B91"/>
    <mergeCell ref="A64:A67"/>
    <mergeCell ref="B77:B78"/>
    <mergeCell ref="A32:A34"/>
    <mergeCell ref="G39:G40"/>
    <mergeCell ref="B58:B59"/>
    <mergeCell ref="G4:G6"/>
    <mergeCell ref="A4:A6"/>
    <mergeCell ref="F35:F36"/>
    <mergeCell ref="B60:B61"/>
    <mergeCell ref="A37:A38"/>
    <mergeCell ref="D75:D78"/>
    <mergeCell ref="B84:B85"/>
    <mergeCell ref="F75:F78"/>
    <mergeCell ref="C15:C17"/>
    <mergeCell ref="E21:E25"/>
    <mergeCell ref="G64:G67"/>
    <mergeCell ref="G21:G25"/>
    <mergeCell ref="G26:G29"/>
    <mergeCell ref="B12:B14"/>
    <mergeCell ref="B64:B65"/>
    <mergeCell ref="F96:F99"/>
    <mergeCell ref="C60:C63"/>
    <mergeCell ref="F37:F38"/>
    <mergeCell ref="F15:F17"/>
    <mergeCell ref="C82:C85"/>
    <mergeCell ref="E41:E42"/>
    <mergeCell ref="G41:G42"/>
    <mergeCell ref="G35:G36"/>
    <mergeCell ref="B54:B55"/>
    <mergeCell ref="F71:F74"/>
    <mergeCell ref="C86:C87"/>
    <mergeCell ref="C50:C52"/>
    <mergeCell ref="E26:E29"/>
    <mergeCell ref="F48:F49"/>
    <mergeCell ref="B23:B25"/>
    <mergeCell ref="F79:F81"/>
    <mergeCell ref="G60:G63"/>
    <mergeCell ref="E75:E78"/>
    <mergeCell ref="G53:G55"/>
    <mergeCell ref="F64:F67"/>
    <mergeCell ref="D88:D91"/>
    <mergeCell ref="C7:C9"/>
    <mergeCell ref="E7:E9"/>
    <mergeCell ref="A56:A59"/>
    <mergeCell ref="C41:C42"/>
    <mergeCell ref="C56:C59"/>
    <mergeCell ref="A15:A17"/>
    <mergeCell ref="B28:B29"/>
    <mergeCell ref="A71:A74"/>
    <mergeCell ref="C18:C20"/>
    <mergeCell ref="C71:C74"/>
    <mergeCell ref="E18:E20"/>
    <mergeCell ref="C43:C44"/>
    <mergeCell ref="A50:A52"/>
    <mergeCell ref="A35:A36"/>
    <mergeCell ref="B56:B57"/>
    <mergeCell ref="D7:D9"/>
    <mergeCell ref="D26:D29"/>
    <mergeCell ref="B26:B27"/>
    <mergeCell ref="D37:D38"/>
    <mergeCell ref="D21:D25"/>
    <mergeCell ref="D39:D40"/>
    <mergeCell ref="D30:D31"/>
    <mergeCell ref="E10:E14"/>
    <mergeCell ref="A43:A44"/>
    <mergeCell ref="C92:C95"/>
    <mergeCell ref="C32:C34"/>
    <mergeCell ref="E32:E34"/>
    <mergeCell ref="G79:G81"/>
    <mergeCell ref="G32:G34"/>
    <mergeCell ref="A68:A70"/>
    <mergeCell ref="C88:C91"/>
    <mergeCell ref="F30:F31"/>
    <mergeCell ref="E88:E91"/>
    <mergeCell ref="A92:A95"/>
    <mergeCell ref="F88:F91"/>
    <mergeCell ref="D82:D85"/>
    <mergeCell ref="G86:G87"/>
    <mergeCell ref="F82:F85"/>
    <mergeCell ref="G68:G70"/>
    <mergeCell ref="F50:F52"/>
    <mergeCell ref="G88:G91"/>
    <mergeCell ref="D92:D95"/>
    <mergeCell ref="C79:C81"/>
    <mergeCell ref="E79:E81"/>
    <mergeCell ref="B92:B93"/>
    <mergeCell ref="B79:B80"/>
    <mergeCell ref="F92:F95"/>
    <mergeCell ref="C30:C31"/>
    <mergeCell ref="D60:D63"/>
    <mergeCell ref="D53:D55"/>
    <mergeCell ref="E39:E40"/>
    <mergeCell ref="F60:F63"/>
    <mergeCell ref="E48:E49"/>
    <mergeCell ref="G48:G49"/>
    <mergeCell ref="A88:A91"/>
    <mergeCell ref="C64:C67"/>
    <mergeCell ref="D86:D87"/>
    <mergeCell ref="D68:D70"/>
    <mergeCell ref="E64:E67"/>
    <mergeCell ref="F86:F87"/>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131"/>
  <sheetViews>
    <sheetView zoomScale="115" zoomScaleNormal="115" workbookViewId="0">
      <pane xSplit="1" ySplit="3" topLeftCell="B4" activePane="bottomRight" state="frozen"/>
      <selection pane="topRight" activeCell="B1" sqref="B1"/>
      <selection pane="bottomLeft" activeCell="A4" sqref="A4"/>
      <selection pane="bottomRight"/>
    </sheetView>
  </sheetViews>
  <sheetFormatPr defaultColWidth="9.109375" defaultRowHeight="13.8" x14ac:dyDescent="0.3"/>
  <cols>
    <col min="1" max="1" width="52.5546875" style="56" bestFit="1" customWidth="1"/>
    <col min="2" max="2" width="81.6640625" style="56" bestFit="1" customWidth="1"/>
    <col min="3" max="3" width="5.33203125" style="6" bestFit="1" customWidth="1"/>
    <col min="4" max="4" width="37.109375" style="56" bestFit="1" customWidth="1"/>
    <col min="5" max="5" width="5.33203125" style="6" bestFit="1" customWidth="1"/>
    <col min="6" max="6" width="32.109375" style="56" bestFit="1" customWidth="1"/>
    <col min="7" max="7" width="5.33203125" style="6" bestFit="1" customWidth="1"/>
    <col min="8" max="8" width="10.44140625" style="6" bestFit="1" customWidth="1"/>
    <col min="9" max="9" width="45.33203125" style="6" bestFit="1" customWidth="1"/>
    <col min="10" max="10" width="73.6640625" style="56" customWidth="1"/>
    <col min="11" max="12" width="9.109375" style="56" customWidth="1"/>
    <col min="13" max="16384" width="9.109375" style="56"/>
  </cols>
  <sheetData>
    <row r="1" spans="1:10" ht="13.2" customHeight="1" x14ac:dyDescent="0.3">
      <c r="A1" s="27" t="s">
        <v>230</v>
      </c>
      <c r="B1" s="112" t="s">
        <v>62</v>
      </c>
      <c r="C1" s="113"/>
      <c r="D1" s="128"/>
      <c r="E1" s="113"/>
      <c r="F1" s="128"/>
      <c r="G1" s="113"/>
    </row>
    <row r="2" spans="1:10" x14ac:dyDescent="0.3">
      <c r="B2" s="112" t="s">
        <v>231</v>
      </c>
      <c r="C2" s="113"/>
      <c r="D2" s="128"/>
      <c r="E2" s="113"/>
      <c r="F2" s="128"/>
      <c r="G2" s="113"/>
    </row>
    <row r="3" spans="1:10" x14ac:dyDescent="0.3">
      <c r="A3" s="91" t="s">
        <v>232</v>
      </c>
      <c r="B3" s="60" t="s">
        <v>233</v>
      </c>
      <c r="C3" s="89" t="s">
        <v>125</v>
      </c>
      <c r="D3" s="89" t="s">
        <v>234</v>
      </c>
      <c r="E3" s="89" t="s">
        <v>125</v>
      </c>
      <c r="F3" s="89" t="s">
        <v>235</v>
      </c>
      <c r="G3" s="89" t="s">
        <v>125</v>
      </c>
      <c r="H3" s="89" t="s">
        <v>218</v>
      </c>
      <c r="I3" s="91" t="s">
        <v>236</v>
      </c>
      <c r="J3" s="91" t="s">
        <v>1</v>
      </c>
    </row>
    <row r="4" spans="1:10" x14ac:dyDescent="0.3">
      <c r="A4" s="131">
        <v>1</v>
      </c>
      <c r="B4" s="50" t="s">
        <v>237</v>
      </c>
      <c r="C4" s="18"/>
      <c r="D4" s="4" t="s">
        <v>238</v>
      </c>
      <c r="E4" s="40"/>
      <c r="F4" s="4" t="s">
        <v>239</v>
      </c>
      <c r="G4" s="40"/>
      <c r="H4" s="126">
        <f>C11+E11+G11</f>
        <v>0</v>
      </c>
      <c r="I4" s="130" t="s">
        <v>240</v>
      </c>
      <c r="J4" s="135" t="s">
        <v>241</v>
      </c>
    </row>
    <row r="5" spans="1:10" x14ac:dyDescent="0.3">
      <c r="A5" s="128"/>
      <c r="B5" s="50" t="s">
        <v>242</v>
      </c>
      <c r="C5" s="18"/>
      <c r="D5" s="4" t="s">
        <v>243</v>
      </c>
      <c r="E5" s="40"/>
      <c r="F5" s="4" t="s">
        <v>244</v>
      </c>
      <c r="G5" s="40"/>
      <c r="H5" s="102"/>
      <c r="I5" s="102"/>
      <c r="J5" s="102"/>
    </row>
    <row r="6" spans="1:10" x14ac:dyDescent="0.3">
      <c r="A6" s="128"/>
      <c r="B6" s="50" t="s">
        <v>245</v>
      </c>
      <c r="C6" s="18"/>
      <c r="D6" s="4" t="s">
        <v>246</v>
      </c>
      <c r="E6" s="40"/>
      <c r="F6" s="4" t="s">
        <v>247</v>
      </c>
      <c r="G6" s="40"/>
      <c r="H6" s="102"/>
      <c r="I6" s="102"/>
      <c r="J6" s="102"/>
    </row>
    <row r="7" spans="1:10" x14ac:dyDescent="0.3">
      <c r="A7" s="128"/>
      <c r="B7" s="50" t="s">
        <v>248</v>
      </c>
      <c r="C7" s="18"/>
      <c r="D7" s="4" t="s">
        <v>249</v>
      </c>
      <c r="E7" s="40"/>
      <c r="F7" s="4" t="s">
        <v>250</v>
      </c>
      <c r="G7" s="40"/>
      <c r="H7" s="102"/>
      <c r="I7" s="102"/>
      <c r="J7" s="102"/>
    </row>
    <row r="8" spans="1:10" x14ac:dyDescent="0.3">
      <c r="A8" s="128"/>
      <c r="B8" s="50" t="s">
        <v>251</v>
      </c>
      <c r="C8" s="18"/>
      <c r="D8" s="4" t="s">
        <v>252</v>
      </c>
      <c r="E8" s="40"/>
      <c r="F8" s="39" t="s">
        <v>253</v>
      </c>
      <c r="G8" s="40"/>
      <c r="H8" s="102"/>
      <c r="I8" s="102"/>
      <c r="J8" s="102"/>
    </row>
    <row r="9" spans="1:10" x14ac:dyDescent="0.3">
      <c r="A9" s="128"/>
      <c r="B9" s="50" t="s">
        <v>254</v>
      </c>
      <c r="C9" s="18"/>
      <c r="D9" s="1"/>
      <c r="E9" s="40"/>
      <c r="F9" s="1"/>
      <c r="G9" s="40"/>
      <c r="H9" s="102"/>
      <c r="I9" s="102"/>
      <c r="J9" s="102"/>
    </row>
    <row r="10" spans="1:10" x14ac:dyDescent="0.3">
      <c r="A10" s="128"/>
      <c r="B10" s="50" t="s">
        <v>255</v>
      </c>
      <c r="C10" s="18"/>
      <c r="D10" s="1"/>
      <c r="E10" s="40"/>
      <c r="F10" s="1"/>
      <c r="G10" s="40"/>
      <c r="H10" s="103"/>
      <c r="I10" s="103"/>
      <c r="J10" s="103"/>
    </row>
    <row r="11" spans="1:10" s="26" customFormat="1" ht="14.4" x14ac:dyDescent="0.3">
      <c r="A11" s="73"/>
      <c r="B11" s="62"/>
      <c r="C11" s="93">
        <f>C4+C5+C6+C7+C8+C9+C10</f>
        <v>0</v>
      </c>
      <c r="D11" s="64"/>
      <c r="E11" s="93">
        <f>E4+E5+E6+E7+E8+E9+E10</f>
        <v>0</v>
      </c>
      <c r="F11" s="64"/>
      <c r="G11" s="93">
        <f>G4+G5+G6+G7+G8+G9+G10</f>
        <v>0</v>
      </c>
      <c r="H11" s="132"/>
      <c r="I11" s="133"/>
      <c r="J11" s="100"/>
    </row>
    <row r="12" spans="1:10" x14ac:dyDescent="0.3">
      <c r="A12" s="131">
        <v>2</v>
      </c>
      <c r="B12" s="50" t="s">
        <v>256</v>
      </c>
      <c r="C12" s="40"/>
      <c r="D12" s="4" t="s">
        <v>257</v>
      </c>
      <c r="E12" s="40"/>
      <c r="F12" s="4" t="s">
        <v>258</v>
      </c>
      <c r="G12" s="40"/>
      <c r="H12" s="134">
        <f>C19+E19+G19</f>
        <v>0</v>
      </c>
      <c r="I12" s="130" t="s">
        <v>259</v>
      </c>
      <c r="J12" s="135" t="s">
        <v>260</v>
      </c>
    </row>
    <row r="13" spans="1:10" x14ac:dyDescent="0.3">
      <c r="A13" s="128"/>
      <c r="B13" s="50" t="s">
        <v>261</v>
      </c>
      <c r="C13" s="40"/>
      <c r="D13" s="4" t="s">
        <v>262</v>
      </c>
      <c r="E13" s="40"/>
      <c r="F13" s="4" t="s">
        <v>263</v>
      </c>
      <c r="G13" s="40"/>
      <c r="H13" s="102"/>
      <c r="I13" s="102"/>
      <c r="J13" s="102"/>
    </row>
    <row r="14" spans="1:10" x14ac:dyDescent="0.3">
      <c r="A14" s="128"/>
      <c r="B14" s="50" t="s">
        <v>264</v>
      </c>
      <c r="C14" s="40"/>
      <c r="D14" s="4" t="s">
        <v>265</v>
      </c>
      <c r="E14" s="40"/>
      <c r="F14" s="4" t="s">
        <v>266</v>
      </c>
      <c r="G14" s="40"/>
      <c r="H14" s="102"/>
      <c r="I14" s="102"/>
      <c r="J14" s="102"/>
    </row>
    <row r="15" spans="1:10" x14ac:dyDescent="0.3">
      <c r="A15" s="128"/>
      <c r="B15" s="50" t="s">
        <v>267</v>
      </c>
      <c r="C15" s="40"/>
      <c r="D15" s="4" t="s">
        <v>268</v>
      </c>
      <c r="E15" s="40"/>
      <c r="F15" s="4" t="s">
        <v>269</v>
      </c>
      <c r="G15" s="40"/>
      <c r="H15" s="102"/>
      <c r="I15" s="102"/>
      <c r="J15" s="102"/>
    </row>
    <row r="16" spans="1:10" x14ac:dyDescent="0.3">
      <c r="A16" s="128"/>
      <c r="B16" s="50" t="s">
        <v>270</v>
      </c>
      <c r="C16" s="40"/>
      <c r="D16" s="4" t="s">
        <v>271</v>
      </c>
      <c r="E16" s="40"/>
      <c r="F16" s="136" t="s">
        <v>272</v>
      </c>
      <c r="G16" s="40"/>
      <c r="H16" s="102"/>
      <c r="I16" s="102"/>
      <c r="J16" s="102"/>
    </row>
    <row r="17" spans="1:10" x14ac:dyDescent="0.3">
      <c r="A17" s="128"/>
      <c r="B17" s="50" t="s">
        <v>273</v>
      </c>
      <c r="C17" s="40"/>
      <c r="D17" s="4"/>
      <c r="E17" s="40"/>
      <c r="F17" s="103"/>
      <c r="G17" s="40"/>
      <c r="H17" s="102"/>
      <c r="I17" s="102"/>
      <c r="J17" s="102"/>
    </row>
    <row r="18" spans="1:10" x14ac:dyDescent="0.3">
      <c r="A18" s="128"/>
      <c r="B18" s="50" t="s">
        <v>274</v>
      </c>
      <c r="C18" s="40"/>
      <c r="D18" s="4"/>
      <c r="E18" s="40"/>
      <c r="F18" s="4"/>
      <c r="G18" s="40"/>
      <c r="H18" s="103"/>
      <c r="I18" s="103"/>
      <c r="J18" s="103"/>
    </row>
    <row r="19" spans="1:10" s="26" customFormat="1" ht="14.4" x14ac:dyDescent="0.3">
      <c r="A19" s="73"/>
      <c r="B19" s="62"/>
      <c r="C19" s="93">
        <f>C12+C13+C14+C15+C16+C17+C18</f>
        <v>0</v>
      </c>
      <c r="D19" s="64"/>
      <c r="E19" s="93">
        <f>E12+E13+E14+E15+E16+E17+E18</f>
        <v>0</v>
      </c>
      <c r="F19" s="65"/>
      <c r="G19" s="93">
        <f>G12+G13+G14+G15+G16+G17+G18</f>
        <v>0</v>
      </c>
      <c r="H19" s="132"/>
      <c r="I19" s="133"/>
      <c r="J19" s="100"/>
    </row>
    <row r="20" spans="1:10" x14ac:dyDescent="0.3">
      <c r="A20" s="131">
        <v>3</v>
      </c>
      <c r="B20" s="50" t="s">
        <v>275</v>
      </c>
      <c r="C20" s="40"/>
      <c r="D20" s="4" t="s">
        <v>276</v>
      </c>
      <c r="E20" s="40"/>
      <c r="F20" s="4" t="s">
        <v>277</v>
      </c>
      <c r="G20" s="40"/>
      <c r="H20" s="134">
        <f>C27+E27+G27</f>
        <v>0</v>
      </c>
      <c r="I20" s="130" t="s">
        <v>278</v>
      </c>
      <c r="J20" s="135" t="s">
        <v>279</v>
      </c>
    </row>
    <row r="21" spans="1:10" x14ac:dyDescent="0.3">
      <c r="A21" s="128"/>
      <c r="B21" s="50" t="s">
        <v>280</v>
      </c>
      <c r="C21" s="40"/>
      <c r="D21" s="4" t="s">
        <v>281</v>
      </c>
      <c r="E21" s="40"/>
      <c r="F21" s="4" t="s">
        <v>282</v>
      </c>
      <c r="G21" s="40"/>
      <c r="H21" s="102"/>
      <c r="I21" s="102"/>
      <c r="J21" s="102"/>
    </row>
    <row r="22" spans="1:10" x14ac:dyDescent="0.3">
      <c r="A22" s="128"/>
      <c r="B22" s="50" t="s">
        <v>283</v>
      </c>
      <c r="C22" s="40"/>
      <c r="D22" s="4" t="s">
        <v>284</v>
      </c>
      <c r="E22" s="40"/>
      <c r="F22" s="4" t="s">
        <v>285</v>
      </c>
      <c r="G22" s="40"/>
      <c r="H22" s="102"/>
      <c r="I22" s="102"/>
      <c r="J22" s="102"/>
    </row>
    <row r="23" spans="1:10" x14ac:dyDescent="0.3">
      <c r="A23" s="128"/>
      <c r="B23" s="50" t="s">
        <v>286</v>
      </c>
      <c r="C23" s="40"/>
      <c r="D23" s="4" t="s">
        <v>287</v>
      </c>
      <c r="E23" s="40"/>
      <c r="F23" s="4" t="s">
        <v>288</v>
      </c>
      <c r="G23" s="40"/>
      <c r="H23" s="102"/>
      <c r="I23" s="102"/>
      <c r="J23" s="102"/>
    </row>
    <row r="24" spans="1:10" x14ac:dyDescent="0.3">
      <c r="A24" s="128"/>
      <c r="B24" s="50" t="s">
        <v>289</v>
      </c>
      <c r="C24" s="40"/>
      <c r="D24" s="4" t="s">
        <v>290</v>
      </c>
      <c r="E24" s="40"/>
      <c r="F24" s="4" t="s">
        <v>291</v>
      </c>
      <c r="G24" s="40"/>
      <c r="H24" s="102"/>
      <c r="I24" s="102"/>
      <c r="J24" s="102"/>
    </row>
    <row r="25" spans="1:10" x14ac:dyDescent="0.3">
      <c r="A25" s="128"/>
      <c r="B25" s="50" t="s">
        <v>292</v>
      </c>
      <c r="C25" s="40"/>
      <c r="D25" s="4"/>
      <c r="E25" s="40"/>
      <c r="F25" s="5"/>
      <c r="G25" s="40"/>
      <c r="H25" s="102"/>
      <c r="I25" s="102"/>
      <c r="J25" s="102"/>
    </row>
    <row r="26" spans="1:10" x14ac:dyDescent="0.3">
      <c r="A26" s="128"/>
      <c r="B26" s="50" t="s">
        <v>293</v>
      </c>
      <c r="C26" s="40"/>
      <c r="D26" s="4"/>
      <c r="E26" s="40"/>
      <c r="F26" s="1"/>
      <c r="G26" s="40"/>
      <c r="H26" s="103"/>
      <c r="I26" s="103"/>
      <c r="J26" s="103"/>
    </row>
    <row r="27" spans="1:10" s="26" customFormat="1" ht="14.4" x14ac:dyDescent="0.3">
      <c r="A27" s="73"/>
      <c r="B27" s="62"/>
      <c r="C27" s="93">
        <f>C20+C21+C22+C23+C24+C25+C26</f>
        <v>0</v>
      </c>
      <c r="D27" s="66"/>
      <c r="E27" s="93">
        <f>E20+E21+E22+E23+E24+E25+E26</f>
        <v>0</v>
      </c>
      <c r="F27" s="64"/>
      <c r="G27" s="93">
        <f>G20+G21+G22+G23+G24+G25+G26</f>
        <v>0</v>
      </c>
      <c r="H27" s="132"/>
      <c r="I27" s="133"/>
      <c r="J27" s="100"/>
    </row>
    <row r="28" spans="1:10" x14ac:dyDescent="0.3">
      <c r="A28" s="131">
        <v>4</v>
      </c>
      <c r="B28" s="50" t="s">
        <v>294</v>
      </c>
      <c r="C28" s="40"/>
      <c r="D28" s="4" t="s">
        <v>295</v>
      </c>
      <c r="E28" s="40"/>
      <c r="F28" s="4" t="s">
        <v>296</v>
      </c>
      <c r="G28" s="40"/>
      <c r="H28" s="134">
        <f>C35+E35+G35</f>
        <v>0</v>
      </c>
      <c r="I28" s="130" t="s">
        <v>297</v>
      </c>
      <c r="J28" s="135" t="s">
        <v>298</v>
      </c>
    </row>
    <row r="29" spans="1:10" x14ac:dyDescent="0.3">
      <c r="A29" s="128"/>
      <c r="B29" s="50" t="s">
        <v>299</v>
      </c>
      <c r="C29" s="40"/>
      <c r="D29" s="4" t="s">
        <v>300</v>
      </c>
      <c r="E29" s="40"/>
      <c r="F29" s="4" t="s">
        <v>301</v>
      </c>
      <c r="G29" s="40"/>
      <c r="H29" s="102"/>
      <c r="I29" s="102"/>
      <c r="J29" s="102"/>
    </row>
    <row r="30" spans="1:10" x14ac:dyDescent="0.3">
      <c r="A30" s="128"/>
      <c r="B30" s="50" t="s">
        <v>302</v>
      </c>
      <c r="C30" s="40"/>
      <c r="D30" s="4" t="s">
        <v>303</v>
      </c>
      <c r="E30" s="40"/>
      <c r="F30" s="4" t="s">
        <v>304</v>
      </c>
      <c r="G30" s="40"/>
      <c r="H30" s="102"/>
      <c r="I30" s="102"/>
      <c r="J30" s="102"/>
    </row>
    <row r="31" spans="1:10" x14ac:dyDescent="0.3">
      <c r="A31" s="128"/>
      <c r="B31" s="50" t="s">
        <v>305</v>
      </c>
      <c r="C31" s="40"/>
      <c r="D31" s="4" t="s">
        <v>306</v>
      </c>
      <c r="E31" s="40"/>
      <c r="F31" s="4" t="s">
        <v>307</v>
      </c>
      <c r="G31" s="40"/>
      <c r="H31" s="102"/>
      <c r="I31" s="102"/>
      <c r="J31" s="102"/>
    </row>
    <row r="32" spans="1:10" x14ac:dyDescent="0.3">
      <c r="A32" s="128"/>
      <c r="B32" s="50" t="s">
        <v>308</v>
      </c>
      <c r="C32" s="40"/>
      <c r="D32" s="4" t="s">
        <v>309</v>
      </c>
      <c r="E32" s="40"/>
      <c r="F32" s="39" t="s">
        <v>310</v>
      </c>
      <c r="G32" s="40"/>
      <c r="H32" s="102"/>
      <c r="I32" s="102"/>
      <c r="J32" s="102"/>
    </row>
    <row r="33" spans="1:10" x14ac:dyDescent="0.3">
      <c r="A33" s="128"/>
      <c r="B33" s="50" t="s">
        <v>311</v>
      </c>
      <c r="C33" s="40"/>
      <c r="D33" s="1"/>
      <c r="E33" s="40"/>
      <c r="F33" s="4"/>
      <c r="G33" s="40"/>
      <c r="H33" s="102"/>
      <c r="I33" s="102"/>
      <c r="J33" s="102"/>
    </row>
    <row r="34" spans="1:10" x14ac:dyDescent="0.3">
      <c r="A34" s="128"/>
      <c r="B34" s="50" t="s">
        <v>312</v>
      </c>
      <c r="C34" s="40"/>
      <c r="D34" s="1"/>
      <c r="E34" s="40"/>
      <c r="F34" s="4"/>
      <c r="G34" s="40"/>
      <c r="H34" s="103"/>
      <c r="I34" s="103"/>
      <c r="J34" s="103"/>
    </row>
    <row r="35" spans="1:10" s="26" customFormat="1" ht="14.4" x14ac:dyDescent="0.3">
      <c r="A35" s="73"/>
      <c r="B35" s="62"/>
      <c r="C35" s="93">
        <f>C28+C29+C30+C31+C32+C33+C34</f>
        <v>0</v>
      </c>
      <c r="D35" s="64"/>
      <c r="E35" s="93">
        <f>E28+E29+E30+E31+E32+E33+E34</f>
        <v>0</v>
      </c>
      <c r="F35" s="66"/>
      <c r="G35" s="93">
        <f>G28+G29+G30+G31+G32+G33+G34</f>
        <v>0</v>
      </c>
      <c r="H35" s="132"/>
      <c r="I35" s="133"/>
      <c r="J35" s="100"/>
    </row>
    <row r="36" spans="1:10" x14ac:dyDescent="0.3">
      <c r="A36" s="131">
        <v>5</v>
      </c>
      <c r="B36" s="50" t="s">
        <v>313</v>
      </c>
      <c r="C36" s="40"/>
      <c r="D36" s="4" t="s">
        <v>314</v>
      </c>
      <c r="E36" s="40"/>
      <c r="F36" s="4" t="s">
        <v>315</v>
      </c>
      <c r="G36" s="40"/>
      <c r="H36" s="134">
        <f>C43+E43+G43</f>
        <v>0</v>
      </c>
      <c r="I36" s="130" t="s">
        <v>316</v>
      </c>
      <c r="J36" s="135" t="s">
        <v>317</v>
      </c>
    </row>
    <row r="37" spans="1:10" x14ac:dyDescent="0.3">
      <c r="A37" s="128"/>
      <c r="B37" s="50" t="s">
        <v>318</v>
      </c>
      <c r="C37" s="40"/>
      <c r="D37" s="4" t="s">
        <v>319</v>
      </c>
      <c r="E37" s="40"/>
      <c r="F37" s="4" t="s">
        <v>320</v>
      </c>
      <c r="G37" s="40"/>
      <c r="H37" s="102"/>
      <c r="I37" s="102"/>
      <c r="J37" s="102"/>
    </row>
    <row r="38" spans="1:10" x14ac:dyDescent="0.3">
      <c r="A38" s="128"/>
      <c r="B38" s="50" t="s">
        <v>321</v>
      </c>
      <c r="C38" s="40"/>
      <c r="D38" s="4" t="s">
        <v>322</v>
      </c>
      <c r="E38" s="40"/>
      <c r="F38" s="4" t="s">
        <v>323</v>
      </c>
      <c r="G38" s="40"/>
      <c r="H38" s="102"/>
      <c r="I38" s="102"/>
      <c r="J38" s="102"/>
    </row>
    <row r="39" spans="1:10" x14ac:dyDescent="0.3">
      <c r="A39" s="128"/>
      <c r="B39" s="50" t="s">
        <v>324</v>
      </c>
      <c r="C39" s="40"/>
      <c r="D39" s="4" t="s">
        <v>325</v>
      </c>
      <c r="E39" s="40"/>
      <c r="F39" s="4" t="s">
        <v>326</v>
      </c>
      <c r="G39" s="40"/>
      <c r="H39" s="102"/>
      <c r="I39" s="102"/>
      <c r="J39" s="102"/>
    </row>
    <row r="40" spans="1:10" x14ac:dyDescent="0.3">
      <c r="A40" s="128"/>
      <c r="B40" s="50" t="s">
        <v>327</v>
      </c>
      <c r="C40" s="40"/>
      <c r="D40" s="4" t="s">
        <v>328</v>
      </c>
      <c r="E40" s="40"/>
      <c r="F40" s="39" t="s">
        <v>329</v>
      </c>
      <c r="G40" s="40"/>
      <c r="H40" s="102"/>
      <c r="I40" s="102"/>
      <c r="J40" s="102"/>
    </row>
    <row r="41" spans="1:10" x14ac:dyDescent="0.3">
      <c r="A41" s="128"/>
      <c r="B41" s="50" t="s">
        <v>330</v>
      </c>
      <c r="C41" s="40"/>
      <c r="D41" s="1"/>
      <c r="E41" s="40"/>
      <c r="F41" s="1"/>
      <c r="G41" s="40"/>
      <c r="H41" s="102"/>
      <c r="I41" s="102"/>
      <c r="J41" s="102"/>
    </row>
    <row r="42" spans="1:10" x14ac:dyDescent="0.3">
      <c r="A42" s="128"/>
      <c r="B42" s="50" t="s">
        <v>331</v>
      </c>
      <c r="C42" s="40"/>
      <c r="D42" s="1"/>
      <c r="E42" s="40"/>
      <c r="F42" s="1"/>
      <c r="G42" s="40"/>
      <c r="H42" s="103"/>
      <c r="I42" s="103"/>
      <c r="J42" s="103"/>
    </row>
    <row r="43" spans="1:10" s="26" customFormat="1" ht="14.4" x14ac:dyDescent="0.3">
      <c r="A43" s="73"/>
      <c r="B43" s="62"/>
      <c r="C43" s="93">
        <f>C36+C37+C38+C39+C40+C41+C42</f>
        <v>0</v>
      </c>
      <c r="D43" s="64"/>
      <c r="E43" s="93">
        <f>E36+E37+E38+E39+E40+E41+E42</f>
        <v>0</v>
      </c>
      <c r="F43" s="64"/>
      <c r="G43" s="93">
        <f>G36+G37+G38+G39+G40+G41+G42</f>
        <v>0</v>
      </c>
      <c r="H43" s="132"/>
      <c r="I43" s="133"/>
      <c r="J43" s="100"/>
    </row>
    <row r="44" spans="1:10" x14ac:dyDescent="0.3">
      <c r="A44" s="131">
        <v>6</v>
      </c>
      <c r="B44" s="50" t="s">
        <v>332</v>
      </c>
      <c r="C44" s="40"/>
      <c r="D44" s="4" t="s">
        <v>333</v>
      </c>
      <c r="E44" s="40"/>
      <c r="F44" s="4" t="s">
        <v>334</v>
      </c>
      <c r="G44" s="40"/>
      <c r="H44" s="134">
        <f>C51+E51+G51</f>
        <v>0</v>
      </c>
      <c r="I44" s="101" t="s">
        <v>335</v>
      </c>
      <c r="J44" s="135" t="s">
        <v>336</v>
      </c>
    </row>
    <row r="45" spans="1:10" x14ac:dyDescent="0.3">
      <c r="A45" s="128"/>
      <c r="B45" s="50" t="s">
        <v>337</v>
      </c>
      <c r="C45" s="40"/>
      <c r="D45" s="4" t="s">
        <v>338</v>
      </c>
      <c r="E45" s="40"/>
      <c r="F45" s="4" t="s">
        <v>339</v>
      </c>
      <c r="G45" s="40"/>
      <c r="H45" s="102"/>
      <c r="I45" s="102"/>
      <c r="J45" s="102"/>
    </row>
    <row r="46" spans="1:10" x14ac:dyDescent="0.3">
      <c r="A46" s="128"/>
      <c r="B46" s="50" t="s">
        <v>340</v>
      </c>
      <c r="C46" s="40"/>
      <c r="D46" s="4" t="s">
        <v>341</v>
      </c>
      <c r="E46" s="40"/>
      <c r="F46" s="4" t="s">
        <v>342</v>
      </c>
      <c r="G46" s="40"/>
      <c r="H46" s="102"/>
      <c r="I46" s="102"/>
      <c r="J46" s="102"/>
    </row>
    <row r="47" spans="1:10" x14ac:dyDescent="0.3">
      <c r="A47" s="128"/>
      <c r="B47" s="50" t="s">
        <v>343</v>
      </c>
      <c r="C47" s="40"/>
      <c r="D47" s="4" t="s">
        <v>344</v>
      </c>
      <c r="E47" s="40"/>
      <c r="F47" s="4" t="s">
        <v>345</v>
      </c>
      <c r="G47" s="40"/>
      <c r="H47" s="102"/>
      <c r="I47" s="102"/>
      <c r="J47" s="102"/>
    </row>
    <row r="48" spans="1:10" x14ac:dyDescent="0.3">
      <c r="A48" s="128"/>
      <c r="B48" s="50" t="s">
        <v>346</v>
      </c>
      <c r="C48" s="40"/>
      <c r="D48" s="4" t="s">
        <v>347</v>
      </c>
      <c r="E48" s="40"/>
      <c r="F48" s="5" t="s">
        <v>348</v>
      </c>
      <c r="G48" s="40"/>
      <c r="H48" s="102"/>
      <c r="I48" s="102"/>
      <c r="J48" s="102"/>
    </row>
    <row r="49" spans="1:10" x14ac:dyDescent="0.3">
      <c r="A49" s="128"/>
      <c r="B49" s="50" t="s">
        <v>349</v>
      </c>
      <c r="C49" s="40"/>
      <c r="D49" s="1"/>
      <c r="E49" s="40"/>
      <c r="F49" s="5"/>
      <c r="G49" s="40"/>
      <c r="H49" s="102"/>
      <c r="I49" s="102"/>
      <c r="J49" s="102"/>
    </row>
    <row r="50" spans="1:10" x14ac:dyDescent="0.3">
      <c r="A50" s="128"/>
      <c r="B50" s="50" t="s">
        <v>350</v>
      </c>
      <c r="C50" s="40"/>
      <c r="D50" s="1"/>
      <c r="E50" s="40"/>
      <c r="F50" s="1"/>
      <c r="G50" s="40"/>
      <c r="H50" s="103"/>
      <c r="I50" s="103"/>
      <c r="J50" s="103"/>
    </row>
    <row r="51" spans="1:10" s="26" customFormat="1" ht="14.4" x14ac:dyDescent="0.3">
      <c r="A51" s="73"/>
      <c r="B51" s="62"/>
      <c r="C51" s="93">
        <f>C44+C45+C46+C47+C48+C49+C50</f>
        <v>0</v>
      </c>
      <c r="D51" s="64"/>
      <c r="E51" s="93">
        <f>E44+E45+E46+E47+E48+E49+E50</f>
        <v>0</v>
      </c>
      <c r="F51" s="64"/>
      <c r="G51" s="93">
        <f>G44+G45+G46+G47+G48+G49+G50</f>
        <v>0</v>
      </c>
      <c r="H51" s="132"/>
      <c r="I51" s="133"/>
      <c r="J51" s="100"/>
    </row>
    <row r="52" spans="1:10" x14ac:dyDescent="0.3">
      <c r="A52" s="131">
        <v>7</v>
      </c>
      <c r="B52" s="50" t="s">
        <v>351</v>
      </c>
      <c r="C52" s="40"/>
      <c r="D52" s="4" t="s">
        <v>352</v>
      </c>
      <c r="E52" s="40"/>
      <c r="F52" s="4" t="s">
        <v>353</v>
      </c>
      <c r="G52" s="40"/>
      <c r="H52" s="134">
        <f>C59+E59+G59</f>
        <v>0</v>
      </c>
      <c r="I52" s="130" t="s">
        <v>354</v>
      </c>
      <c r="J52" s="135" t="s">
        <v>355</v>
      </c>
    </row>
    <row r="53" spans="1:10" x14ac:dyDescent="0.3">
      <c r="A53" s="128"/>
      <c r="B53" s="50" t="s">
        <v>356</v>
      </c>
      <c r="C53" s="40"/>
      <c r="D53" s="4" t="s">
        <v>357</v>
      </c>
      <c r="E53" s="40"/>
      <c r="F53" s="4" t="s">
        <v>358</v>
      </c>
      <c r="G53" s="40"/>
      <c r="H53" s="102"/>
      <c r="I53" s="102"/>
      <c r="J53" s="102"/>
    </row>
    <row r="54" spans="1:10" x14ac:dyDescent="0.3">
      <c r="A54" s="128"/>
      <c r="B54" s="50" t="s">
        <v>359</v>
      </c>
      <c r="C54" s="40"/>
      <c r="D54" s="4" t="s">
        <v>360</v>
      </c>
      <c r="E54" s="40"/>
      <c r="F54" s="4" t="s">
        <v>361</v>
      </c>
      <c r="G54" s="40"/>
      <c r="H54" s="102"/>
      <c r="I54" s="102"/>
      <c r="J54" s="102"/>
    </row>
    <row r="55" spans="1:10" x14ac:dyDescent="0.3">
      <c r="A55" s="128"/>
      <c r="B55" s="50" t="s">
        <v>362</v>
      </c>
      <c r="C55" s="40"/>
      <c r="D55" s="4" t="s">
        <v>363</v>
      </c>
      <c r="E55" s="40"/>
      <c r="F55" s="4" t="s">
        <v>364</v>
      </c>
      <c r="G55" s="40"/>
      <c r="H55" s="102"/>
      <c r="I55" s="102"/>
      <c r="J55" s="102"/>
    </row>
    <row r="56" spans="1:10" x14ac:dyDescent="0.3">
      <c r="A56" s="128"/>
      <c r="B56" s="50" t="s">
        <v>365</v>
      </c>
      <c r="C56" s="40"/>
      <c r="D56" s="4" t="s">
        <v>366</v>
      </c>
      <c r="E56" s="40"/>
      <c r="F56" s="39" t="s">
        <v>367</v>
      </c>
      <c r="G56" s="40"/>
      <c r="H56" s="102"/>
      <c r="I56" s="102"/>
      <c r="J56" s="102"/>
    </row>
    <row r="57" spans="1:10" x14ac:dyDescent="0.3">
      <c r="A57" s="128"/>
      <c r="B57" s="50" t="s">
        <v>368</v>
      </c>
      <c r="C57" s="40"/>
      <c r="D57" s="1"/>
      <c r="E57" s="40"/>
      <c r="F57" s="1"/>
      <c r="G57" s="40"/>
      <c r="H57" s="102"/>
      <c r="I57" s="102"/>
      <c r="J57" s="102"/>
    </row>
    <row r="58" spans="1:10" x14ac:dyDescent="0.3">
      <c r="A58" s="128"/>
      <c r="B58" s="50" t="s">
        <v>369</v>
      </c>
      <c r="C58" s="40"/>
      <c r="D58" s="1"/>
      <c r="E58" s="40"/>
      <c r="F58" s="1"/>
      <c r="G58" s="40"/>
      <c r="H58" s="103"/>
      <c r="I58" s="103"/>
      <c r="J58" s="103"/>
    </row>
    <row r="59" spans="1:10" s="26" customFormat="1" ht="14.4" x14ac:dyDescent="0.3">
      <c r="A59" s="73"/>
      <c r="B59" s="62"/>
      <c r="C59" s="93">
        <f>C52+C53+C54+C55+C56+C57+C58</f>
        <v>0</v>
      </c>
      <c r="D59" s="64"/>
      <c r="E59" s="93">
        <f>E52+E53+E54+E55+E56+E57+E58</f>
        <v>0</v>
      </c>
      <c r="F59" s="64"/>
      <c r="G59" s="93">
        <f>G52+G53+G54+G55+G56+G57+G58</f>
        <v>0</v>
      </c>
      <c r="H59" s="132"/>
      <c r="I59" s="133"/>
      <c r="J59" s="100"/>
    </row>
    <row r="60" spans="1:10" x14ac:dyDescent="0.3">
      <c r="A60" s="131">
        <v>8</v>
      </c>
      <c r="B60" s="50" t="s">
        <v>370</v>
      </c>
      <c r="C60" s="40"/>
      <c r="D60" s="4" t="s">
        <v>371</v>
      </c>
      <c r="E60" s="40"/>
      <c r="F60" s="4" t="s">
        <v>372</v>
      </c>
      <c r="G60" s="40"/>
      <c r="H60" s="134">
        <f>C67+E67+G67</f>
        <v>0</v>
      </c>
      <c r="I60" s="130" t="s">
        <v>373</v>
      </c>
      <c r="J60" s="135" t="s">
        <v>374</v>
      </c>
    </row>
    <row r="61" spans="1:10" x14ac:dyDescent="0.3">
      <c r="A61" s="128"/>
      <c r="B61" s="50" t="s">
        <v>375</v>
      </c>
      <c r="C61" s="40"/>
      <c r="D61" s="4" t="s">
        <v>262</v>
      </c>
      <c r="E61" s="40"/>
      <c r="F61" s="4" t="s">
        <v>376</v>
      </c>
      <c r="G61" s="40"/>
      <c r="H61" s="102"/>
      <c r="I61" s="102"/>
      <c r="J61" s="102"/>
    </row>
    <row r="62" spans="1:10" x14ac:dyDescent="0.3">
      <c r="A62" s="128"/>
      <c r="B62" s="50" t="s">
        <v>377</v>
      </c>
      <c r="C62" s="40"/>
      <c r="D62" s="4" t="s">
        <v>378</v>
      </c>
      <c r="E62" s="40"/>
      <c r="F62" s="4" t="s">
        <v>379</v>
      </c>
      <c r="G62" s="40"/>
      <c r="H62" s="102"/>
      <c r="I62" s="102"/>
      <c r="J62" s="102"/>
    </row>
    <row r="63" spans="1:10" x14ac:dyDescent="0.3">
      <c r="A63" s="128"/>
      <c r="B63" s="50" t="s">
        <v>380</v>
      </c>
      <c r="C63" s="40"/>
      <c r="D63" s="4" t="s">
        <v>381</v>
      </c>
      <c r="E63" s="40"/>
      <c r="F63" s="4" t="s">
        <v>382</v>
      </c>
      <c r="G63" s="40"/>
      <c r="H63" s="102"/>
      <c r="I63" s="102"/>
      <c r="J63" s="102"/>
    </row>
    <row r="64" spans="1:10" x14ac:dyDescent="0.3">
      <c r="A64" s="128"/>
      <c r="B64" s="50" t="s">
        <v>383</v>
      </c>
      <c r="C64" s="40"/>
      <c r="D64" s="4" t="s">
        <v>328</v>
      </c>
      <c r="E64" s="40"/>
      <c r="F64" s="5" t="s">
        <v>384</v>
      </c>
      <c r="G64" s="40"/>
      <c r="H64" s="102"/>
      <c r="I64" s="102"/>
      <c r="J64" s="102"/>
    </row>
    <row r="65" spans="1:10" x14ac:dyDescent="0.3">
      <c r="A65" s="128"/>
      <c r="B65" s="50" t="s">
        <v>385</v>
      </c>
      <c r="C65" s="40"/>
      <c r="D65" s="4"/>
      <c r="E65" s="40"/>
      <c r="F65" s="5"/>
      <c r="G65" s="40"/>
      <c r="H65" s="102"/>
      <c r="I65" s="102"/>
      <c r="J65" s="102"/>
    </row>
    <row r="66" spans="1:10" x14ac:dyDescent="0.3">
      <c r="A66" s="128"/>
      <c r="B66" s="50" t="s">
        <v>386</v>
      </c>
      <c r="C66" s="40"/>
      <c r="D66" s="4"/>
      <c r="E66" s="40"/>
      <c r="F66" s="1"/>
      <c r="G66" s="40"/>
      <c r="H66" s="103"/>
      <c r="I66" s="103"/>
      <c r="J66" s="103"/>
    </row>
    <row r="67" spans="1:10" s="26" customFormat="1" ht="14.4" x14ac:dyDescent="0.3">
      <c r="A67" s="73"/>
      <c r="B67" s="62"/>
      <c r="C67" s="93">
        <f>C60+C61+C62+C63+C64+C65+C66</f>
        <v>0</v>
      </c>
      <c r="D67" s="64"/>
      <c r="E67" s="93">
        <f>E60+E61+E62+E63+E64+E65+E66</f>
        <v>0</v>
      </c>
      <c r="F67" s="64"/>
      <c r="G67" s="93">
        <f>G60+G61+G62+G63+G64+G65+G66</f>
        <v>0</v>
      </c>
      <c r="H67" s="132"/>
      <c r="I67" s="133"/>
      <c r="J67" s="100"/>
    </row>
    <row r="68" spans="1:10" x14ac:dyDescent="0.3">
      <c r="A68" s="131">
        <v>9</v>
      </c>
      <c r="B68" s="50" t="s">
        <v>387</v>
      </c>
      <c r="C68" s="40"/>
      <c r="D68" s="4" t="s">
        <v>388</v>
      </c>
      <c r="E68" s="40"/>
      <c r="F68" s="4" t="s">
        <v>389</v>
      </c>
      <c r="G68" s="40"/>
      <c r="H68" s="134">
        <f>C75+E75+G75</f>
        <v>0</v>
      </c>
      <c r="I68" s="130" t="s">
        <v>390</v>
      </c>
      <c r="J68" s="135" t="s">
        <v>391</v>
      </c>
    </row>
    <row r="69" spans="1:10" x14ac:dyDescent="0.3">
      <c r="A69" s="128"/>
      <c r="B69" s="50" t="s">
        <v>392</v>
      </c>
      <c r="C69" s="40"/>
      <c r="D69" s="4" t="s">
        <v>393</v>
      </c>
      <c r="E69" s="40"/>
      <c r="F69" s="4" t="s">
        <v>394</v>
      </c>
      <c r="G69" s="40"/>
      <c r="H69" s="102"/>
      <c r="I69" s="102"/>
      <c r="J69" s="102"/>
    </row>
    <row r="70" spans="1:10" x14ac:dyDescent="0.3">
      <c r="A70" s="128"/>
      <c r="B70" s="50" t="s">
        <v>395</v>
      </c>
      <c r="C70" s="40"/>
      <c r="D70" s="4" t="s">
        <v>396</v>
      </c>
      <c r="E70" s="40"/>
      <c r="F70" s="4" t="s">
        <v>397</v>
      </c>
      <c r="G70" s="40"/>
      <c r="H70" s="102"/>
      <c r="I70" s="102"/>
      <c r="J70" s="102"/>
    </row>
    <row r="71" spans="1:10" x14ac:dyDescent="0.3">
      <c r="A71" s="128"/>
      <c r="B71" s="50" t="s">
        <v>398</v>
      </c>
      <c r="C71" s="40"/>
      <c r="D71" s="4" t="s">
        <v>399</v>
      </c>
      <c r="E71" s="40"/>
      <c r="F71" s="4" t="s">
        <v>400</v>
      </c>
      <c r="G71" s="40"/>
      <c r="H71" s="102"/>
      <c r="I71" s="102"/>
      <c r="J71" s="102"/>
    </row>
    <row r="72" spans="1:10" x14ac:dyDescent="0.3">
      <c r="A72" s="128"/>
      <c r="B72" s="50" t="s">
        <v>401</v>
      </c>
      <c r="C72" s="40"/>
      <c r="D72" s="4" t="s">
        <v>402</v>
      </c>
      <c r="E72" s="40"/>
      <c r="F72" s="5" t="s">
        <v>403</v>
      </c>
      <c r="G72" s="40"/>
      <c r="H72" s="102"/>
      <c r="I72" s="102"/>
      <c r="J72" s="102"/>
    </row>
    <row r="73" spans="1:10" x14ac:dyDescent="0.3">
      <c r="A73" s="128"/>
      <c r="B73" s="50" t="s">
        <v>404</v>
      </c>
      <c r="C73" s="40"/>
      <c r="D73" s="1"/>
      <c r="E73" s="40"/>
      <c r="F73" s="1"/>
      <c r="G73" s="40"/>
      <c r="H73" s="102"/>
      <c r="I73" s="102"/>
      <c r="J73" s="102"/>
    </row>
    <row r="74" spans="1:10" x14ac:dyDescent="0.3">
      <c r="A74" s="128"/>
      <c r="B74" s="50" t="s">
        <v>405</v>
      </c>
      <c r="C74" s="40"/>
      <c r="D74" s="1"/>
      <c r="E74" s="40"/>
      <c r="F74" s="1"/>
      <c r="G74" s="40"/>
      <c r="H74" s="103"/>
      <c r="I74" s="103"/>
      <c r="J74" s="103"/>
    </row>
    <row r="75" spans="1:10" s="26" customFormat="1" ht="14.4" x14ac:dyDescent="0.3">
      <c r="A75" s="73"/>
      <c r="B75" s="62"/>
      <c r="C75" s="93">
        <f>C68+C69+C70+C71+C72+C73+C74</f>
        <v>0</v>
      </c>
      <c r="D75" s="64"/>
      <c r="E75" s="93">
        <f>E68+E69+E70+E71+E72+E73+E74</f>
        <v>0</v>
      </c>
      <c r="F75" s="64"/>
      <c r="G75" s="93">
        <f>G68+G69+G70+G71+G72+G73+G74</f>
        <v>0</v>
      </c>
      <c r="H75" s="132"/>
      <c r="I75" s="133"/>
      <c r="J75" s="100"/>
    </row>
    <row r="76" spans="1:10" x14ac:dyDescent="0.3">
      <c r="A76" s="131">
        <v>10</v>
      </c>
      <c r="B76" s="50" t="s">
        <v>406</v>
      </c>
      <c r="C76" s="40"/>
      <c r="D76" s="4" t="s">
        <v>407</v>
      </c>
      <c r="E76" s="40"/>
      <c r="F76" s="4" t="s">
        <v>315</v>
      </c>
      <c r="G76" s="40"/>
      <c r="H76" s="134">
        <f>C83+E83+G83</f>
        <v>0</v>
      </c>
      <c r="I76" s="130" t="s">
        <v>408</v>
      </c>
      <c r="J76" s="135" t="s">
        <v>409</v>
      </c>
    </row>
    <row r="77" spans="1:10" x14ac:dyDescent="0.3">
      <c r="A77" s="128"/>
      <c r="B77" s="50" t="s">
        <v>410</v>
      </c>
      <c r="C77" s="40"/>
      <c r="D77" s="4" t="s">
        <v>411</v>
      </c>
      <c r="E77" s="40"/>
      <c r="F77" s="4" t="s">
        <v>412</v>
      </c>
      <c r="G77" s="40"/>
      <c r="H77" s="102"/>
      <c r="I77" s="102"/>
      <c r="J77" s="102"/>
    </row>
    <row r="78" spans="1:10" x14ac:dyDescent="0.3">
      <c r="A78" s="128"/>
      <c r="B78" s="50" t="s">
        <v>413</v>
      </c>
      <c r="C78" s="40"/>
      <c r="D78" s="4" t="s">
        <v>414</v>
      </c>
      <c r="E78" s="40"/>
      <c r="F78" s="4" t="s">
        <v>415</v>
      </c>
      <c r="G78" s="40"/>
      <c r="H78" s="102"/>
      <c r="I78" s="102"/>
      <c r="J78" s="102"/>
    </row>
    <row r="79" spans="1:10" x14ac:dyDescent="0.3">
      <c r="A79" s="128"/>
      <c r="B79" s="50" t="s">
        <v>416</v>
      </c>
      <c r="C79" s="40"/>
      <c r="D79" s="4" t="s">
        <v>417</v>
      </c>
      <c r="E79" s="40"/>
      <c r="F79" s="4" t="s">
        <v>418</v>
      </c>
      <c r="G79" s="40"/>
      <c r="H79" s="102"/>
      <c r="I79" s="102"/>
      <c r="J79" s="102"/>
    </row>
    <row r="80" spans="1:10" x14ac:dyDescent="0.3">
      <c r="A80" s="128"/>
      <c r="B80" s="50" t="s">
        <v>419</v>
      </c>
      <c r="C80" s="40"/>
      <c r="D80" s="4" t="s">
        <v>420</v>
      </c>
      <c r="E80" s="40"/>
      <c r="F80" s="5" t="s">
        <v>367</v>
      </c>
      <c r="G80" s="40"/>
      <c r="H80" s="102"/>
      <c r="I80" s="102"/>
      <c r="J80" s="102"/>
    </row>
    <row r="81" spans="1:10" x14ac:dyDescent="0.3">
      <c r="A81" s="128"/>
      <c r="B81" s="50" t="s">
        <v>421</v>
      </c>
      <c r="C81" s="40"/>
      <c r="D81" s="4"/>
      <c r="E81" s="40"/>
      <c r="F81" s="4"/>
      <c r="G81" s="40"/>
      <c r="H81" s="102"/>
      <c r="I81" s="102"/>
      <c r="J81" s="102"/>
    </row>
    <row r="82" spans="1:10" x14ac:dyDescent="0.3">
      <c r="A82" s="128"/>
      <c r="B82" s="50" t="s">
        <v>422</v>
      </c>
      <c r="C82" s="40"/>
      <c r="D82" s="1"/>
      <c r="E82" s="40"/>
      <c r="F82" s="5"/>
      <c r="G82" s="40"/>
      <c r="H82" s="103"/>
      <c r="I82" s="103"/>
      <c r="J82" s="103"/>
    </row>
    <row r="83" spans="1:10" s="26" customFormat="1" ht="14.4" x14ac:dyDescent="0.3">
      <c r="A83" s="73"/>
      <c r="B83" s="62"/>
      <c r="C83" s="93">
        <f>C76+C77+C78+C79+C80+C81+C82</f>
        <v>0</v>
      </c>
      <c r="D83" s="64"/>
      <c r="E83" s="93">
        <f>E76+E77+E78+E79+E80+E81+E82</f>
        <v>0</v>
      </c>
      <c r="F83" s="64"/>
      <c r="G83" s="93">
        <f>G76+G77+G78+G79+G80+G81+G82</f>
        <v>0</v>
      </c>
      <c r="H83" s="132"/>
      <c r="I83" s="133"/>
      <c r="J83" s="100"/>
    </row>
    <row r="84" spans="1:10" x14ac:dyDescent="0.3">
      <c r="A84" s="131">
        <v>11</v>
      </c>
      <c r="B84" s="50" t="s">
        <v>423</v>
      </c>
      <c r="C84" s="40"/>
      <c r="D84" s="4" t="s">
        <v>424</v>
      </c>
      <c r="E84" s="40"/>
      <c r="F84" s="4" t="s">
        <v>239</v>
      </c>
      <c r="G84" s="40"/>
      <c r="H84" s="134">
        <f>C91+E91+G91</f>
        <v>0</v>
      </c>
      <c r="I84" s="101" t="s">
        <v>425</v>
      </c>
      <c r="J84" s="135" t="s">
        <v>426</v>
      </c>
    </row>
    <row r="85" spans="1:10" x14ac:dyDescent="0.3">
      <c r="A85" s="128"/>
      <c r="B85" s="50" t="s">
        <v>427</v>
      </c>
      <c r="C85" s="40"/>
      <c r="D85" s="4" t="s">
        <v>428</v>
      </c>
      <c r="E85" s="40"/>
      <c r="F85" s="4" t="s">
        <v>429</v>
      </c>
      <c r="G85" s="40"/>
      <c r="H85" s="102"/>
      <c r="I85" s="102"/>
      <c r="J85" s="102"/>
    </row>
    <row r="86" spans="1:10" x14ac:dyDescent="0.3">
      <c r="A86" s="128"/>
      <c r="B86" s="50" t="s">
        <v>430</v>
      </c>
      <c r="C86" s="40"/>
      <c r="D86" s="4" t="s">
        <v>431</v>
      </c>
      <c r="E86" s="40"/>
      <c r="F86" s="4" t="s">
        <v>432</v>
      </c>
      <c r="G86" s="40"/>
      <c r="H86" s="102"/>
      <c r="I86" s="102"/>
      <c r="J86" s="102"/>
    </row>
    <row r="87" spans="1:10" x14ac:dyDescent="0.3">
      <c r="A87" s="128"/>
      <c r="B87" s="50" t="s">
        <v>433</v>
      </c>
      <c r="C87" s="40"/>
      <c r="D87" s="4" t="s">
        <v>434</v>
      </c>
      <c r="E87" s="40"/>
      <c r="F87" s="4" t="s">
        <v>435</v>
      </c>
      <c r="G87" s="40"/>
      <c r="H87" s="102"/>
      <c r="I87" s="102"/>
      <c r="J87" s="102"/>
    </row>
    <row r="88" spans="1:10" x14ac:dyDescent="0.3">
      <c r="A88" s="128"/>
      <c r="B88" s="50" t="s">
        <v>436</v>
      </c>
      <c r="C88" s="40"/>
      <c r="D88" s="4" t="s">
        <v>437</v>
      </c>
      <c r="E88" s="40"/>
      <c r="F88" s="39" t="s">
        <v>438</v>
      </c>
      <c r="G88" s="40"/>
      <c r="H88" s="102"/>
      <c r="I88" s="102"/>
      <c r="J88" s="102"/>
    </row>
    <row r="89" spans="1:10" x14ac:dyDescent="0.3">
      <c r="A89" s="128"/>
      <c r="B89" s="50" t="s">
        <v>439</v>
      </c>
      <c r="C89" s="40"/>
      <c r="D89" s="4"/>
      <c r="E89" s="40"/>
      <c r="F89" s="39"/>
      <c r="G89" s="40"/>
      <c r="H89" s="102"/>
      <c r="I89" s="102"/>
      <c r="J89" s="102"/>
    </row>
    <row r="90" spans="1:10" x14ac:dyDescent="0.3">
      <c r="A90" s="128"/>
      <c r="B90" s="50" t="s">
        <v>440</v>
      </c>
      <c r="C90" s="40"/>
      <c r="D90" s="1"/>
      <c r="E90" s="40"/>
      <c r="F90" s="1"/>
      <c r="G90" s="40"/>
      <c r="H90" s="103"/>
      <c r="I90" s="103"/>
      <c r="J90" s="103"/>
    </row>
    <row r="91" spans="1:10" s="26" customFormat="1" ht="14.4" x14ac:dyDescent="0.3">
      <c r="A91" s="73"/>
      <c r="B91" s="62"/>
      <c r="C91" s="93">
        <f>C84+C85+C86+C87+C88+C89+C90</f>
        <v>0</v>
      </c>
      <c r="D91" s="64"/>
      <c r="E91" s="93">
        <f>E84+E85+E86+E87+E88+E89+E90</f>
        <v>0</v>
      </c>
      <c r="F91" s="64"/>
      <c r="G91" s="93">
        <f>G84+G85+G86+G87+G88+G89+G90</f>
        <v>0</v>
      </c>
      <c r="H91" s="132"/>
      <c r="I91" s="133"/>
      <c r="J91" s="100"/>
    </row>
    <row r="92" spans="1:10" x14ac:dyDescent="0.3">
      <c r="A92" s="131">
        <v>12</v>
      </c>
      <c r="B92" s="50" t="s">
        <v>441</v>
      </c>
      <c r="C92" s="40"/>
      <c r="D92" s="4" t="s">
        <v>442</v>
      </c>
      <c r="E92" s="40"/>
      <c r="F92" s="4" t="s">
        <v>315</v>
      </c>
      <c r="G92" s="40"/>
      <c r="H92" s="134">
        <f>C99+E99+G99</f>
        <v>0</v>
      </c>
      <c r="I92" s="130" t="s">
        <v>443</v>
      </c>
      <c r="J92" s="135" t="s">
        <v>444</v>
      </c>
    </row>
    <row r="93" spans="1:10" x14ac:dyDescent="0.3">
      <c r="A93" s="128"/>
      <c r="B93" s="50" t="s">
        <v>445</v>
      </c>
      <c r="C93" s="40"/>
      <c r="D93" s="4" t="s">
        <v>446</v>
      </c>
      <c r="E93" s="40"/>
      <c r="F93" s="4" t="s">
        <v>412</v>
      </c>
      <c r="G93" s="40"/>
      <c r="H93" s="102"/>
      <c r="I93" s="102"/>
      <c r="J93" s="102"/>
    </row>
    <row r="94" spans="1:10" x14ac:dyDescent="0.3">
      <c r="A94" s="128"/>
      <c r="B94" s="50" t="s">
        <v>447</v>
      </c>
      <c r="C94" s="40"/>
      <c r="D94" s="4" t="s">
        <v>448</v>
      </c>
      <c r="E94" s="40"/>
      <c r="F94" s="4" t="s">
        <v>449</v>
      </c>
      <c r="G94" s="40"/>
      <c r="H94" s="102"/>
      <c r="I94" s="102"/>
      <c r="J94" s="102"/>
    </row>
    <row r="95" spans="1:10" x14ac:dyDescent="0.3">
      <c r="A95" s="128"/>
      <c r="B95" s="50" t="s">
        <v>450</v>
      </c>
      <c r="C95" s="40"/>
      <c r="D95" s="4" t="s">
        <v>451</v>
      </c>
      <c r="E95" s="40"/>
      <c r="F95" s="4" t="s">
        <v>452</v>
      </c>
      <c r="G95" s="40"/>
      <c r="H95" s="102"/>
      <c r="I95" s="102"/>
      <c r="J95" s="102"/>
    </row>
    <row r="96" spans="1:10" x14ac:dyDescent="0.3">
      <c r="A96" s="128"/>
      <c r="B96" s="50" t="s">
        <v>453</v>
      </c>
      <c r="C96" s="40"/>
      <c r="D96" s="4" t="s">
        <v>454</v>
      </c>
      <c r="E96" s="40"/>
      <c r="F96" s="4" t="s">
        <v>455</v>
      </c>
      <c r="G96" s="40"/>
      <c r="H96" s="102"/>
      <c r="I96" s="102"/>
      <c r="J96" s="102"/>
    </row>
    <row r="97" spans="1:10" x14ac:dyDescent="0.3">
      <c r="A97" s="128"/>
      <c r="B97" s="50" t="s">
        <v>456</v>
      </c>
      <c r="C97" s="40"/>
      <c r="D97" s="1"/>
      <c r="E97" s="40"/>
      <c r="F97" s="5"/>
      <c r="G97" s="40"/>
      <c r="H97" s="102"/>
      <c r="I97" s="102"/>
      <c r="J97" s="102"/>
    </row>
    <row r="98" spans="1:10" x14ac:dyDescent="0.3">
      <c r="A98" s="128"/>
      <c r="B98" s="50" t="s">
        <v>457</v>
      </c>
      <c r="C98" s="40"/>
      <c r="D98" s="1"/>
      <c r="E98" s="40"/>
      <c r="F98" s="1"/>
      <c r="G98" s="40"/>
      <c r="H98" s="103"/>
      <c r="I98" s="103"/>
      <c r="J98" s="103"/>
    </row>
    <row r="99" spans="1:10" s="26" customFormat="1" ht="14.4" x14ac:dyDescent="0.3">
      <c r="A99" s="73"/>
      <c r="B99" s="62"/>
      <c r="C99" s="93">
        <f>C92+C93+C94+C95+C96+C97+C98</f>
        <v>0</v>
      </c>
      <c r="D99" s="64"/>
      <c r="E99" s="93">
        <f>E92+E93+E94+E95+E96+E97+E98</f>
        <v>0</v>
      </c>
      <c r="F99" s="64"/>
      <c r="G99" s="93">
        <f>G92+G93+G94+G95+G96+G97+G98</f>
        <v>0</v>
      </c>
      <c r="H99" s="132"/>
      <c r="I99" s="133"/>
      <c r="J99" s="100"/>
    </row>
    <row r="100" spans="1:10" x14ac:dyDescent="0.3">
      <c r="A100" s="131">
        <v>13</v>
      </c>
      <c r="B100" s="50" t="s">
        <v>458</v>
      </c>
      <c r="C100" s="40"/>
      <c r="D100" s="4" t="s">
        <v>459</v>
      </c>
      <c r="E100" s="40"/>
      <c r="F100" s="4" t="s">
        <v>460</v>
      </c>
      <c r="G100" s="40"/>
      <c r="H100" s="134">
        <f>C107+E107+G107</f>
        <v>0</v>
      </c>
      <c r="I100" s="101" t="s">
        <v>461</v>
      </c>
      <c r="J100" s="135" t="s">
        <v>462</v>
      </c>
    </row>
    <row r="101" spans="1:10" x14ac:dyDescent="0.3">
      <c r="A101" s="128"/>
      <c r="B101" s="50" t="s">
        <v>463</v>
      </c>
      <c r="C101" s="40"/>
      <c r="D101" s="4" t="s">
        <v>464</v>
      </c>
      <c r="E101" s="40"/>
      <c r="F101" s="4" t="s">
        <v>376</v>
      </c>
      <c r="G101" s="40"/>
      <c r="H101" s="102"/>
      <c r="I101" s="102"/>
      <c r="J101" s="102"/>
    </row>
    <row r="102" spans="1:10" x14ac:dyDescent="0.3">
      <c r="A102" s="128"/>
      <c r="B102" s="50" t="s">
        <v>465</v>
      </c>
      <c r="C102" s="40"/>
      <c r="D102" s="4" t="s">
        <v>246</v>
      </c>
      <c r="E102" s="40"/>
      <c r="F102" s="4" t="s">
        <v>466</v>
      </c>
      <c r="G102" s="40"/>
      <c r="H102" s="102"/>
      <c r="I102" s="102"/>
      <c r="J102" s="102"/>
    </row>
    <row r="103" spans="1:10" x14ac:dyDescent="0.3">
      <c r="A103" s="128"/>
      <c r="B103" s="50" t="s">
        <v>467</v>
      </c>
      <c r="C103" s="40"/>
      <c r="D103" s="4" t="s">
        <v>468</v>
      </c>
      <c r="E103" s="40"/>
      <c r="F103" s="4" t="s">
        <v>469</v>
      </c>
      <c r="G103" s="40"/>
      <c r="H103" s="102"/>
      <c r="I103" s="102"/>
      <c r="J103" s="102"/>
    </row>
    <row r="104" spans="1:10" x14ac:dyDescent="0.3">
      <c r="A104" s="128"/>
      <c r="B104" s="50" t="s">
        <v>470</v>
      </c>
      <c r="C104" s="40"/>
      <c r="D104" s="4" t="s">
        <v>471</v>
      </c>
      <c r="E104" s="40"/>
      <c r="F104" s="5" t="s">
        <v>472</v>
      </c>
      <c r="G104" s="40"/>
      <c r="H104" s="102"/>
      <c r="I104" s="102"/>
      <c r="J104" s="102"/>
    </row>
    <row r="105" spans="1:10" x14ac:dyDescent="0.3">
      <c r="A105" s="128"/>
      <c r="B105" s="50" t="s">
        <v>473</v>
      </c>
      <c r="C105" s="40"/>
      <c r="D105" s="1"/>
      <c r="E105" s="40"/>
      <c r="F105" s="5"/>
      <c r="G105" s="40"/>
      <c r="H105" s="102"/>
      <c r="I105" s="102"/>
      <c r="J105" s="102"/>
    </row>
    <row r="106" spans="1:10" x14ac:dyDescent="0.3">
      <c r="A106" s="128"/>
      <c r="B106" s="50" t="s">
        <v>474</v>
      </c>
      <c r="C106" s="40"/>
      <c r="D106" s="1"/>
      <c r="E106" s="40"/>
      <c r="F106" s="1"/>
      <c r="G106" s="40"/>
      <c r="H106" s="103"/>
      <c r="I106" s="103"/>
      <c r="J106" s="103"/>
    </row>
    <row r="107" spans="1:10" s="26" customFormat="1" ht="14.4" x14ac:dyDescent="0.3">
      <c r="A107" s="73"/>
      <c r="B107" s="62"/>
      <c r="C107" s="93">
        <f>C100+C101+C102+C103+C104+C105+C106</f>
        <v>0</v>
      </c>
      <c r="D107" s="64"/>
      <c r="E107" s="93">
        <f>E100+E101+E102+E103+E104+E105+E106</f>
        <v>0</v>
      </c>
      <c r="F107" s="64"/>
      <c r="G107" s="93">
        <f>G100+G101+G102+G103+G104+G105+G106</f>
        <v>0</v>
      </c>
      <c r="H107" s="132"/>
      <c r="I107" s="133"/>
      <c r="J107" s="100"/>
    </row>
    <row r="108" spans="1:10" x14ac:dyDescent="0.3">
      <c r="A108" s="131">
        <v>14</v>
      </c>
      <c r="B108" s="50" t="s">
        <v>475</v>
      </c>
      <c r="C108" s="40"/>
      <c r="D108" s="4" t="s">
        <v>476</v>
      </c>
      <c r="E108" s="40"/>
      <c r="F108" s="4" t="s">
        <v>315</v>
      </c>
      <c r="G108" s="40"/>
      <c r="H108" s="134">
        <f>C115+E115+G115</f>
        <v>0</v>
      </c>
      <c r="I108" s="130" t="s">
        <v>477</v>
      </c>
      <c r="J108" s="135" t="s">
        <v>478</v>
      </c>
    </row>
    <row r="109" spans="1:10" x14ac:dyDescent="0.3">
      <c r="A109" s="128"/>
      <c r="B109" s="50" t="s">
        <v>479</v>
      </c>
      <c r="C109" s="40"/>
      <c r="D109" s="4" t="s">
        <v>357</v>
      </c>
      <c r="E109" s="40"/>
      <c r="F109" s="4" t="s">
        <v>480</v>
      </c>
      <c r="G109" s="40"/>
      <c r="H109" s="102"/>
      <c r="I109" s="102"/>
      <c r="J109" s="102"/>
    </row>
    <row r="110" spans="1:10" x14ac:dyDescent="0.3">
      <c r="A110" s="128"/>
      <c r="B110" s="50" t="s">
        <v>481</v>
      </c>
      <c r="C110" s="40"/>
      <c r="D110" s="4" t="s">
        <v>482</v>
      </c>
      <c r="E110" s="40"/>
      <c r="F110" s="4" t="s">
        <v>483</v>
      </c>
      <c r="G110" s="40"/>
      <c r="H110" s="102"/>
      <c r="I110" s="102"/>
      <c r="J110" s="102"/>
    </row>
    <row r="111" spans="1:10" x14ac:dyDescent="0.3">
      <c r="A111" s="128"/>
      <c r="B111" s="50" t="s">
        <v>484</v>
      </c>
      <c r="C111" s="40"/>
      <c r="D111" s="4" t="s">
        <v>485</v>
      </c>
      <c r="E111" s="40"/>
      <c r="F111" s="4" t="s">
        <v>486</v>
      </c>
      <c r="G111" s="40"/>
      <c r="H111" s="102"/>
      <c r="I111" s="102"/>
      <c r="J111" s="102"/>
    </row>
    <row r="112" spans="1:10" x14ac:dyDescent="0.3">
      <c r="A112" s="128"/>
      <c r="B112" s="50" t="s">
        <v>487</v>
      </c>
      <c r="C112" s="40"/>
      <c r="D112" s="4" t="s">
        <v>488</v>
      </c>
      <c r="E112" s="40"/>
      <c r="F112" s="5" t="s">
        <v>489</v>
      </c>
      <c r="G112" s="40"/>
      <c r="H112" s="102"/>
      <c r="I112" s="102"/>
      <c r="J112" s="102"/>
    </row>
    <row r="113" spans="1:10" x14ac:dyDescent="0.3">
      <c r="A113" s="128"/>
      <c r="B113" s="50" t="s">
        <v>490</v>
      </c>
      <c r="C113" s="40"/>
      <c r="D113" s="1"/>
      <c r="E113" s="40"/>
      <c r="F113" s="5"/>
      <c r="G113" s="40"/>
      <c r="H113" s="102"/>
      <c r="I113" s="102"/>
      <c r="J113" s="102"/>
    </row>
    <row r="114" spans="1:10" x14ac:dyDescent="0.3">
      <c r="A114" s="128"/>
      <c r="B114" s="50" t="s">
        <v>491</v>
      </c>
      <c r="C114" s="40"/>
      <c r="D114" s="1"/>
      <c r="E114" s="40"/>
      <c r="F114" s="1"/>
      <c r="G114" s="40"/>
      <c r="H114" s="103"/>
      <c r="I114" s="103"/>
      <c r="J114" s="103"/>
    </row>
    <row r="115" spans="1:10" s="26" customFormat="1" ht="14.4" x14ac:dyDescent="0.3">
      <c r="A115" s="73"/>
      <c r="B115" s="62"/>
      <c r="C115" s="93">
        <f>C108+C109+C110+C111+C112+C113+C114</f>
        <v>0</v>
      </c>
      <c r="D115" s="64"/>
      <c r="E115" s="93">
        <f>E108+E109+E110+E111+E112+E113+E114</f>
        <v>0</v>
      </c>
      <c r="F115" s="64"/>
      <c r="G115" s="93">
        <f>G108+G109+G110+G111+G112+G113+G114</f>
        <v>0</v>
      </c>
      <c r="H115" s="132"/>
      <c r="I115" s="133"/>
      <c r="J115" s="100"/>
    </row>
    <row r="116" spans="1:10" x14ac:dyDescent="0.3">
      <c r="A116" s="131">
        <v>15</v>
      </c>
      <c r="B116" s="50" t="s">
        <v>492</v>
      </c>
      <c r="C116" s="40"/>
      <c r="D116" s="4" t="s">
        <v>493</v>
      </c>
      <c r="E116" s="40"/>
      <c r="F116" s="4" t="s">
        <v>239</v>
      </c>
      <c r="G116" s="40"/>
      <c r="H116" s="134">
        <f>C123+E123+G123</f>
        <v>0</v>
      </c>
      <c r="I116" s="130" t="s">
        <v>494</v>
      </c>
      <c r="J116" s="135" t="s">
        <v>495</v>
      </c>
    </row>
    <row r="117" spans="1:10" x14ac:dyDescent="0.3">
      <c r="A117" s="128"/>
      <c r="B117" s="50" t="s">
        <v>496</v>
      </c>
      <c r="C117" s="40"/>
      <c r="D117" s="4" t="s">
        <v>497</v>
      </c>
      <c r="E117" s="40"/>
      <c r="F117" s="4" t="s">
        <v>429</v>
      </c>
      <c r="G117" s="40"/>
      <c r="H117" s="102"/>
      <c r="I117" s="102"/>
      <c r="J117" s="102"/>
    </row>
    <row r="118" spans="1:10" x14ac:dyDescent="0.3">
      <c r="A118" s="128"/>
      <c r="B118" s="50" t="s">
        <v>498</v>
      </c>
      <c r="C118" s="40"/>
      <c r="D118" s="4" t="s">
        <v>499</v>
      </c>
      <c r="E118" s="40"/>
      <c r="F118" s="4" t="s">
        <v>500</v>
      </c>
      <c r="G118" s="40"/>
      <c r="H118" s="102"/>
      <c r="I118" s="102"/>
      <c r="J118" s="102"/>
    </row>
    <row r="119" spans="1:10" x14ac:dyDescent="0.3">
      <c r="A119" s="128"/>
      <c r="B119" s="50" t="s">
        <v>501</v>
      </c>
      <c r="C119" s="40"/>
      <c r="D119" s="4" t="s">
        <v>502</v>
      </c>
      <c r="E119" s="40"/>
      <c r="F119" s="4" t="s">
        <v>503</v>
      </c>
      <c r="G119" s="40"/>
      <c r="H119" s="102"/>
      <c r="I119" s="102"/>
      <c r="J119" s="102"/>
    </row>
    <row r="120" spans="1:10" x14ac:dyDescent="0.3">
      <c r="A120" s="128"/>
      <c r="B120" s="50" t="s">
        <v>504</v>
      </c>
      <c r="C120" s="40"/>
      <c r="D120" s="4" t="s">
        <v>505</v>
      </c>
      <c r="E120" s="40"/>
      <c r="F120" s="4" t="s">
        <v>506</v>
      </c>
      <c r="G120" s="40"/>
      <c r="H120" s="102"/>
      <c r="I120" s="102"/>
      <c r="J120" s="102"/>
    </row>
    <row r="121" spans="1:10" x14ac:dyDescent="0.3">
      <c r="A121" s="128"/>
      <c r="B121" s="50" t="s">
        <v>507</v>
      </c>
      <c r="C121" s="40"/>
      <c r="D121" s="1"/>
      <c r="E121" s="40"/>
      <c r="F121" s="4"/>
      <c r="G121" s="40"/>
      <c r="H121" s="102"/>
      <c r="I121" s="102"/>
      <c r="J121" s="102"/>
    </row>
    <row r="122" spans="1:10" x14ac:dyDescent="0.3">
      <c r="A122" s="128"/>
      <c r="B122" s="50" t="s">
        <v>508</v>
      </c>
      <c r="C122" s="40"/>
      <c r="D122" s="1"/>
      <c r="E122" s="40"/>
      <c r="F122" s="4"/>
      <c r="G122" s="40"/>
      <c r="H122" s="103"/>
      <c r="I122" s="103"/>
      <c r="J122" s="103"/>
    </row>
    <row r="123" spans="1:10" s="26" customFormat="1" ht="14.4" x14ac:dyDescent="0.3">
      <c r="A123" s="73"/>
      <c r="B123" s="62"/>
      <c r="C123" s="93">
        <f>C116+C117+C118+C119+C120+C121+C122</f>
        <v>0</v>
      </c>
      <c r="D123" s="64"/>
      <c r="E123" s="93">
        <f>E116+E117+E118+E119+E120+E121+E122</f>
        <v>0</v>
      </c>
      <c r="F123" s="65"/>
      <c r="G123" s="93">
        <f>G116+G117+G118+G119+G120+G121+G122</f>
        <v>0</v>
      </c>
      <c r="H123" s="132"/>
      <c r="I123" s="133"/>
      <c r="J123" s="100"/>
    </row>
    <row r="124" spans="1:10" x14ac:dyDescent="0.3">
      <c r="A124" s="131">
        <v>16</v>
      </c>
      <c r="B124" s="50" t="s">
        <v>509</v>
      </c>
      <c r="C124" s="40"/>
      <c r="D124" s="4" t="s">
        <v>510</v>
      </c>
      <c r="E124" s="40"/>
      <c r="F124" s="4" t="s">
        <v>511</v>
      </c>
      <c r="G124" s="40"/>
      <c r="H124" s="134">
        <f>C131+E131+G131</f>
        <v>0</v>
      </c>
      <c r="I124" s="130" t="s">
        <v>512</v>
      </c>
      <c r="J124" s="135" t="s">
        <v>513</v>
      </c>
    </row>
    <row r="125" spans="1:10" x14ac:dyDescent="0.3">
      <c r="A125" s="128"/>
      <c r="B125" s="50" t="s">
        <v>514</v>
      </c>
      <c r="C125" s="40"/>
      <c r="D125" s="4" t="s">
        <v>515</v>
      </c>
      <c r="E125" s="40"/>
      <c r="F125" s="4" t="s">
        <v>516</v>
      </c>
      <c r="G125" s="40"/>
      <c r="H125" s="102"/>
      <c r="I125" s="102"/>
      <c r="J125" s="102"/>
    </row>
    <row r="126" spans="1:10" x14ac:dyDescent="0.3">
      <c r="A126" s="128"/>
      <c r="B126" s="50" t="s">
        <v>517</v>
      </c>
      <c r="C126" s="40"/>
      <c r="D126" s="4" t="s">
        <v>518</v>
      </c>
      <c r="E126" s="40"/>
      <c r="F126" s="4" t="s">
        <v>266</v>
      </c>
      <c r="G126" s="40"/>
      <c r="H126" s="102"/>
      <c r="I126" s="102"/>
      <c r="J126" s="102"/>
    </row>
    <row r="127" spans="1:10" x14ac:dyDescent="0.3">
      <c r="A127" s="128"/>
      <c r="B127" s="50" t="s">
        <v>519</v>
      </c>
      <c r="C127" s="40"/>
      <c r="D127" s="4" t="s">
        <v>520</v>
      </c>
      <c r="E127" s="40"/>
      <c r="F127" s="4" t="s">
        <v>521</v>
      </c>
      <c r="G127" s="40"/>
      <c r="H127" s="102"/>
      <c r="I127" s="102"/>
      <c r="J127" s="102"/>
    </row>
    <row r="128" spans="1:10" x14ac:dyDescent="0.3">
      <c r="A128" s="128"/>
      <c r="B128" s="50" t="s">
        <v>522</v>
      </c>
      <c r="C128" s="40"/>
      <c r="D128" s="4" t="s">
        <v>523</v>
      </c>
      <c r="E128" s="40"/>
      <c r="F128" s="5" t="s">
        <v>367</v>
      </c>
      <c r="G128" s="40"/>
      <c r="H128" s="102"/>
      <c r="I128" s="102"/>
      <c r="J128" s="102"/>
    </row>
    <row r="129" spans="1:10" x14ac:dyDescent="0.3">
      <c r="A129" s="128"/>
      <c r="B129" s="50" t="s">
        <v>524</v>
      </c>
      <c r="C129" s="40"/>
      <c r="D129" s="1"/>
      <c r="E129" s="40"/>
      <c r="F129" s="5"/>
      <c r="G129" s="40"/>
      <c r="H129" s="102"/>
      <c r="I129" s="102"/>
      <c r="J129" s="102"/>
    </row>
    <row r="130" spans="1:10" x14ac:dyDescent="0.3">
      <c r="A130" s="128"/>
      <c r="B130" s="50" t="s">
        <v>525</v>
      </c>
      <c r="C130" s="40"/>
      <c r="D130" s="1"/>
      <c r="E130" s="40"/>
      <c r="F130" s="1"/>
      <c r="G130" s="40"/>
      <c r="H130" s="103"/>
      <c r="I130" s="103"/>
      <c r="J130" s="103"/>
    </row>
    <row r="131" spans="1:10" s="26" customFormat="1" ht="14.4" x14ac:dyDescent="0.3">
      <c r="A131" s="61"/>
      <c r="B131" s="63"/>
      <c r="C131" s="93">
        <f>C124+C125+C126+C127+C128+C129+C130</f>
        <v>0</v>
      </c>
      <c r="D131" s="64"/>
      <c r="E131" s="93">
        <f>E124+E125+E126+E127+E128+E129+E130</f>
        <v>0</v>
      </c>
      <c r="F131" s="64"/>
      <c r="G131" s="93">
        <f>G124+G125+G126+G127+G128+G129+G130</f>
        <v>0</v>
      </c>
      <c r="H131" s="137"/>
      <c r="I131" s="120"/>
      <c r="J131" s="121"/>
    </row>
  </sheetData>
  <mergeCells count="83">
    <mergeCell ref="B2:G2"/>
    <mergeCell ref="H84:H90"/>
    <mergeCell ref="A76:A82"/>
    <mergeCell ref="H12:H18"/>
    <mergeCell ref="J12:J18"/>
    <mergeCell ref="A68:A74"/>
    <mergeCell ref="A52:A58"/>
    <mergeCell ref="H4:H10"/>
    <mergeCell ref="H43:J43"/>
    <mergeCell ref="A84:A90"/>
    <mergeCell ref="H83:J83"/>
    <mergeCell ref="H131:J131"/>
    <mergeCell ref="H28:H34"/>
    <mergeCell ref="H76:H82"/>
    <mergeCell ref="I44:I50"/>
    <mergeCell ref="I84:I90"/>
    <mergeCell ref="H92:H98"/>
    <mergeCell ref="J76:J82"/>
    <mergeCell ref="J92:J98"/>
    <mergeCell ref="H107:J107"/>
    <mergeCell ref="I108:I114"/>
    <mergeCell ref="I36:I42"/>
    <mergeCell ref="H68:H74"/>
    <mergeCell ref="I124:I130"/>
    <mergeCell ref="H91:J91"/>
    <mergeCell ref="I116:I122"/>
    <mergeCell ref="J4:J10"/>
    <mergeCell ref="H36:H42"/>
    <mergeCell ref="J36:J42"/>
    <mergeCell ref="J100:J106"/>
    <mergeCell ref="I60:I66"/>
    <mergeCell ref="B1:G1"/>
    <mergeCell ref="H115:J115"/>
    <mergeCell ref="I20:I26"/>
    <mergeCell ref="A116:A122"/>
    <mergeCell ref="H99:J99"/>
    <mergeCell ref="A100:A106"/>
    <mergeCell ref="I4:I10"/>
    <mergeCell ref="H27:J27"/>
    <mergeCell ref="A44:A50"/>
    <mergeCell ref="A28:A34"/>
    <mergeCell ref="H116:H122"/>
    <mergeCell ref="H35:J35"/>
    <mergeCell ref="A36:A42"/>
    <mergeCell ref="H67:J67"/>
    <mergeCell ref="J60:J66"/>
    <mergeCell ref="H59:J59"/>
    <mergeCell ref="A124:A130"/>
    <mergeCell ref="I28:I34"/>
    <mergeCell ref="H51:J51"/>
    <mergeCell ref="I68:I74"/>
    <mergeCell ref="J20:J26"/>
    <mergeCell ref="I52:I58"/>
    <mergeCell ref="H52:H58"/>
    <mergeCell ref="J68:J74"/>
    <mergeCell ref="A92:A98"/>
    <mergeCell ref="A108:A114"/>
    <mergeCell ref="H11:J11"/>
    <mergeCell ref="H124:H130"/>
    <mergeCell ref="J124:J130"/>
    <mergeCell ref="I92:I98"/>
    <mergeCell ref="A4:A10"/>
    <mergeCell ref="H19:J19"/>
    <mergeCell ref="H75:J75"/>
    <mergeCell ref="J52:J58"/>
    <mergeCell ref="H20:H26"/>
    <mergeCell ref="J116:J122"/>
    <mergeCell ref="H44:H50"/>
    <mergeCell ref="I76:I82"/>
    <mergeCell ref="J84:J90"/>
    <mergeCell ref="J44:J50"/>
    <mergeCell ref="A60:A66"/>
    <mergeCell ref="J28:J34"/>
    <mergeCell ref="I100:I106"/>
    <mergeCell ref="I12:I18"/>
    <mergeCell ref="A12:A18"/>
    <mergeCell ref="H123:J123"/>
    <mergeCell ref="H60:H66"/>
    <mergeCell ref="H100:H106"/>
    <mergeCell ref="A20:A26"/>
    <mergeCell ref="H108:H114"/>
    <mergeCell ref="J108:J114"/>
    <mergeCell ref="F16:F17"/>
  </mergeCells>
  <pageMargins left="0.7" right="0.7" top="0.75" bottom="0.75" header="0.3" footer="0.3"/>
  <pageSetup paperSize="9"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46"/>
  <sheetViews>
    <sheetView workbookViewId="0"/>
  </sheetViews>
  <sheetFormatPr defaultColWidth="74.109375" defaultRowHeight="13.8" x14ac:dyDescent="0.3"/>
  <cols>
    <col min="1" max="1" width="8.33203125" style="56" bestFit="1" customWidth="1"/>
    <col min="2" max="2" width="109.5546875" style="56" bestFit="1" customWidth="1"/>
    <col min="3" max="3" width="6.6640625" style="6" bestFit="1" customWidth="1"/>
    <col min="4" max="4" width="12.44140625" style="6" bestFit="1" customWidth="1"/>
    <col min="5" max="5" width="24" style="6" bestFit="1" customWidth="1"/>
    <col min="6" max="8" width="74.109375" style="56" customWidth="1"/>
    <col min="9" max="16384" width="74.109375" style="56"/>
  </cols>
  <sheetData>
    <row r="1" spans="1:6" x14ac:dyDescent="0.3">
      <c r="A1" s="89" t="s">
        <v>526</v>
      </c>
      <c r="B1" s="58" t="s">
        <v>527</v>
      </c>
      <c r="C1" s="89" t="s">
        <v>125</v>
      </c>
      <c r="D1" s="89" t="s">
        <v>218</v>
      </c>
      <c r="E1" s="89" t="s">
        <v>526</v>
      </c>
      <c r="F1" s="89" t="s">
        <v>1</v>
      </c>
    </row>
    <row r="2" spans="1:6" ht="13.2" customHeight="1" x14ac:dyDescent="0.3">
      <c r="A2" s="131">
        <v>1</v>
      </c>
      <c r="B2" s="41" t="s">
        <v>528</v>
      </c>
      <c r="C2" s="42"/>
      <c r="D2" s="138">
        <f>C6</f>
        <v>0</v>
      </c>
      <c r="E2" s="130" t="s">
        <v>529</v>
      </c>
      <c r="F2" s="139" t="s">
        <v>530</v>
      </c>
    </row>
    <row r="3" spans="1:6" x14ac:dyDescent="0.3">
      <c r="A3" s="128"/>
      <c r="B3" s="4" t="s">
        <v>531</v>
      </c>
      <c r="C3" s="43"/>
      <c r="D3" s="117"/>
      <c r="E3" s="102"/>
      <c r="F3" s="102"/>
    </row>
    <row r="4" spans="1:6" x14ac:dyDescent="0.3">
      <c r="A4" s="128"/>
      <c r="B4" s="4" t="s">
        <v>532</v>
      </c>
      <c r="C4" s="43"/>
      <c r="D4" s="117"/>
      <c r="E4" s="102"/>
      <c r="F4" s="102"/>
    </row>
    <row r="5" spans="1:6" x14ac:dyDescent="0.3">
      <c r="A5" s="128"/>
      <c r="B5" s="4" t="s">
        <v>533</v>
      </c>
      <c r="C5" s="43"/>
      <c r="D5" s="117"/>
      <c r="E5" s="102"/>
      <c r="F5" s="102"/>
    </row>
    <row r="6" spans="1:6" x14ac:dyDescent="0.3">
      <c r="A6" s="128"/>
      <c r="B6" s="62"/>
      <c r="C6" s="44">
        <f>SUM(C2:C5)</f>
        <v>0</v>
      </c>
      <c r="D6" s="117"/>
      <c r="E6" s="103"/>
      <c r="F6" s="103"/>
    </row>
    <row r="7" spans="1:6" s="26" customFormat="1" ht="13.95" customHeight="1" x14ac:dyDescent="0.3">
      <c r="A7" s="141">
        <v>2</v>
      </c>
      <c r="B7" s="4" t="s">
        <v>534</v>
      </c>
      <c r="C7" s="45"/>
      <c r="D7" s="142">
        <f>C11</f>
        <v>0</v>
      </c>
      <c r="E7" s="73"/>
      <c r="F7" s="72"/>
    </row>
    <row r="8" spans="1:6" x14ac:dyDescent="0.3">
      <c r="A8" s="100"/>
      <c r="B8" s="4" t="s">
        <v>535</v>
      </c>
      <c r="C8" s="45"/>
      <c r="D8" s="117"/>
      <c r="E8" s="130" t="s">
        <v>536</v>
      </c>
      <c r="F8" s="140" t="s">
        <v>537</v>
      </c>
    </row>
    <row r="9" spans="1:6" x14ac:dyDescent="0.3">
      <c r="A9" s="100"/>
      <c r="B9" s="4" t="s">
        <v>538</v>
      </c>
      <c r="C9" s="45"/>
      <c r="D9" s="117"/>
      <c r="E9" s="102"/>
      <c r="F9" s="102"/>
    </row>
    <row r="10" spans="1:6" x14ac:dyDescent="0.3">
      <c r="A10" s="100"/>
      <c r="B10" s="4" t="s">
        <v>539</v>
      </c>
      <c r="C10" s="45"/>
      <c r="D10" s="117"/>
      <c r="E10" s="102"/>
      <c r="F10" s="102"/>
    </row>
    <row r="11" spans="1:6" x14ac:dyDescent="0.3">
      <c r="A11" s="67"/>
      <c r="B11" s="62"/>
      <c r="C11" s="44">
        <f>SUM(C7:C10)</f>
        <v>0</v>
      </c>
      <c r="D11" s="69"/>
      <c r="E11" s="103"/>
      <c r="F11" s="103"/>
    </row>
    <row r="12" spans="1:6" s="26" customFormat="1" ht="13.95" customHeight="1" x14ac:dyDescent="0.3">
      <c r="A12" s="141">
        <v>3</v>
      </c>
      <c r="B12" s="4" t="s">
        <v>540</v>
      </c>
      <c r="C12" s="45"/>
      <c r="D12" s="142">
        <f>C16</f>
        <v>0</v>
      </c>
      <c r="E12" s="73"/>
      <c r="F12" s="72"/>
    </row>
    <row r="13" spans="1:6" x14ac:dyDescent="0.3">
      <c r="A13" s="100"/>
      <c r="B13" s="4" t="s">
        <v>541</v>
      </c>
      <c r="C13" s="45"/>
      <c r="D13" s="117"/>
      <c r="E13" s="130" t="s">
        <v>542</v>
      </c>
      <c r="F13" s="140" t="s">
        <v>543</v>
      </c>
    </row>
    <row r="14" spans="1:6" x14ac:dyDescent="0.3">
      <c r="A14" s="100"/>
      <c r="B14" s="4" t="s">
        <v>544</v>
      </c>
      <c r="C14" s="45"/>
      <c r="D14" s="117"/>
      <c r="E14" s="102"/>
      <c r="F14" s="102"/>
    </row>
    <row r="15" spans="1:6" x14ac:dyDescent="0.3">
      <c r="A15" s="100"/>
      <c r="B15" s="4" t="s">
        <v>545</v>
      </c>
      <c r="C15" s="45"/>
      <c r="D15" s="117"/>
      <c r="E15" s="102"/>
      <c r="F15" s="102"/>
    </row>
    <row r="16" spans="1:6" x14ac:dyDescent="0.3">
      <c r="A16" s="67"/>
      <c r="B16" s="62"/>
      <c r="C16" s="44">
        <f>SUM(C12:C15)</f>
        <v>0</v>
      </c>
      <c r="D16" s="69"/>
      <c r="E16" s="103"/>
      <c r="F16" s="103"/>
    </row>
    <row r="17" spans="1:6" s="26" customFormat="1" ht="13.95" customHeight="1" x14ac:dyDescent="0.3">
      <c r="A17" s="141">
        <v>4</v>
      </c>
      <c r="B17" s="4" t="s">
        <v>546</v>
      </c>
      <c r="C17" s="45"/>
      <c r="D17" s="142">
        <f>C21</f>
        <v>0</v>
      </c>
      <c r="E17" s="73"/>
      <c r="F17" s="72"/>
    </row>
    <row r="18" spans="1:6" x14ac:dyDescent="0.3">
      <c r="A18" s="100"/>
      <c r="B18" s="4" t="s">
        <v>547</v>
      </c>
      <c r="C18" s="45"/>
      <c r="D18" s="117"/>
      <c r="E18" s="130" t="s">
        <v>548</v>
      </c>
      <c r="F18" s="139" t="s">
        <v>549</v>
      </c>
    </row>
    <row r="19" spans="1:6" x14ac:dyDescent="0.3">
      <c r="A19" s="100"/>
      <c r="B19" s="4" t="s">
        <v>550</v>
      </c>
      <c r="C19" s="45"/>
      <c r="D19" s="117"/>
      <c r="E19" s="102"/>
      <c r="F19" s="102"/>
    </row>
    <row r="20" spans="1:6" x14ac:dyDescent="0.3">
      <c r="A20" s="100"/>
      <c r="B20" s="4" t="s">
        <v>551</v>
      </c>
      <c r="C20" s="45"/>
      <c r="D20" s="117"/>
      <c r="E20" s="102"/>
      <c r="F20" s="102"/>
    </row>
    <row r="21" spans="1:6" x14ac:dyDescent="0.3">
      <c r="A21" s="67"/>
      <c r="B21" s="62"/>
      <c r="C21" s="46">
        <f>SUM(C17:C20)</f>
        <v>0</v>
      </c>
      <c r="D21" s="69"/>
      <c r="E21" s="103"/>
      <c r="F21" s="103"/>
    </row>
    <row r="22" spans="1:6" s="26" customFormat="1" ht="14.4" x14ac:dyDescent="0.3">
      <c r="A22" s="68"/>
      <c r="B22" s="70"/>
      <c r="C22" s="71"/>
      <c r="D22" s="143"/>
      <c r="E22" s="120"/>
      <c r="F22" s="121"/>
    </row>
    <row r="23" spans="1:6" x14ac:dyDescent="0.3">
      <c r="A23" s="47"/>
    </row>
    <row r="24" spans="1:6" x14ac:dyDescent="0.3">
      <c r="A24" s="48"/>
    </row>
    <row r="25" spans="1:6" x14ac:dyDescent="0.3">
      <c r="A25" s="48"/>
    </row>
    <row r="26" spans="1:6" x14ac:dyDescent="0.3">
      <c r="A26" s="48"/>
    </row>
    <row r="27" spans="1:6" x14ac:dyDescent="0.3">
      <c r="A27" s="48"/>
    </row>
    <row r="28" spans="1:6" x14ac:dyDescent="0.3">
      <c r="A28" s="48"/>
    </row>
    <row r="29" spans="1:6" x14ac:dyDescent="0.3">
      <c r="A29" s="48"/>
    </row>
    <row r="30" spans="1:6" x14ac:dyDescent="0.3">
      <c r="A30" s="48"/>
    </row>
    <row r="31" spans="1:6" x14ac:dyDescent="0.3">
      <c r="A31" s="48"/>
    </row>
    <row r="32" spans="1:6" x14ac:dyDescent="0.3">
      <c r="A32" s="48"/>
    </row>
    <row r="33" spans="1:1" x14ac:dyDescent="0.3">
      <c r="A33" s="48"/>
    </row>
    <row r="34" spans="1:1" x14ac:dyDescent="0.3">
      <c r="A34" s="48"/>
    </row>
    <row r="35" spans="1:1" x14ac:dyDescent="0.3">
      <c r="A35" s="48"/>
    </row>
    <row r="36" spans="1:1" x14ac:dyDescent="0.3">
      <c r="A36" s="48"/>
    </row>
    <row r="37" spans="1:1" x14ac:dyDescent="0.3">
      <c r="A37" s="48"/>
    </row>
    <row r="38" spans="1:1" x14ac:dyDescent="0.3">
      <c r="A38" s="48"/>
    </row>
    <row r="39" spans="1:1" x14ac:dyDescent="0.3">
      <c r="A39" s="48"/>
    </row>
    <row r="40" spans="1:1" x14ac:dyDescent="0.3">
      <c r="A40" s="48"/>
    </row>
    <row r="41" spans="1:1" x14ac:dyDescent="0.3">
      <c r="A41" s="48"/>
    </row>
    <row r="42" spans="1:1" x14ac:dyDescent="0.3">
      <c r="A42" s="48"/>
    </row>
    <row r="43" spans="1:1" x14ac:dyDescent="0.3">
      <c r="A43" s="48"/>
    </row>
    <row r="44" spans="1:1" x14ac:dyDescent="0.3">
      <c r="A44" s="48"/>
    </row>
    <row r="45" spans="1:1" x14ac:dyDescent="0.3">
      <c r="A45" s="48"/>
    </row>
    <row r="46" spans="1:1" x14ac:dyDescent="0.3">
      <c r="A46" s="48"/>
    </row>
  </sheetData>
  <mergeCells count="17">
    <mergeCell ref="D22:F22"/>
    <mergeCell ref="A12:A15"/>
    <mergeCell ref="D12:D15"/>
    <mergeCell ref="D7:D10"/>
    <mergeCell ref="A7:A10"/>
    <mergeCell ref="D17:D20"/>
    <mergeCell ref="E8:E11"/>
    <mergeCell ref="A17:A20"/>
    <mergeCell ref="A2:A6"/>
    <mergeCell ref="D2:D6"/>
    <mergeCell ref="E18:E21"/>
    <mergeCell ref="E2:E6"/>
    <mergeCell ref="E13:E16"/>
    <mergeCell ref="F2:F6"/>
    <mergeCell ref="F13:F16"/>
    <mergeCell ref="F18:F21"/>
    <mergeCell ref="F8:F11"/>
  </mergeCells>
  <pageMargins left="0.7" right="0.7" top="0.75" bottom="0.75" header="0.3" footer="0.3"/>
  <pageSetup paperSize="9" orientation="portrait" horizontalDpi="4294967293" verticalDpi="0"/>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1"/>
  <sheetViews>
    <sheetView tabSelected="1" topLeftCell="C1" workbookViewId="0">
      <selection activeCell="F4" sqref="F4"/>
    </sheetView>
  </sheetViews>
  <sheetFormatPr defaultColWidth="9.109375" defaultRowHeight="13.8" x14ac:dyDescent="0.3"/>
  <cols>
    <col min="1" max="1" width="15.88671875" style="6" bestFit="1" customWidth="1"/>
    <col min="2" max="3" width="78.6640625" style="56" customWidth="1"/>
    <col min="4" max="4" width="88.33203125" style="56" customWidth="1"/>
    <col min="5" max="6" width="9.109375" style="56" customWidth="1"/>
    <col min="7" max="16384" width="9.109375" style="56"/>
  </cols>
  <sheetData>
    <row r="1" spans="1:4" x14ac:dyDescent="0.3">
      <c r="A1" s="89" t="s">
        <v>0</v>
      </c>
      <c r="B1" s="89" t="s">
        <v>1</v>
      </c>
      <c r="C1" s="89" t="s">
        <v>2</v>
      </c>
      <c r="D1" s="89" t="s">
        <v>3</v>
      </c>
    </row>
    <row r="2" spans="1:4" ht="55.2" customHeight="1" x14ac:dyDescent="0.3">
      <c r="A2" s="95" t="s">
        <v>4</v>
      </c>
      <c r="B2" s="78" t="s">
        <v>5</v>
      </c>
      <c r="C2" s="78" t="s">
        <v>6</v>
      </c>
      <c r="D2" s="78"/>
    </row>
    <row r="3" spans="1:4" s="26" customFormat="1" ht="14.4" x14ac:dyDescent="0.3">
      <c r="A3" s="99"/>
      <c r="B3" s="100"/>
      <c r="C3" s="97"/>
      <c r="D3" s="74"/>
    </row>
    <row r="4" spans="1:4" ht="55.2" customHeight="1" x14ac:dyDescent="0.3">
      <c r="A4" s="95" t="s">
        <v>7</v>
      </c>
      <c r="B4" s="78" t="s">
        <v>8</v>
      </c>
      <c r="C4" s="78" t="s">
        <v>9</v>
      </c>
      <c r="D4" s="78"/>
    </row>
    <row r="5" spans="1:4" s="26" customFormat="1" ht="14.4" x14ac:dyDescent="0.3">
      <c r="A5" s="99"/>
      <c r="B5" s="100"/>
      <c r="C5" s="97"/>
      <c r="D5" s="74"/>
    </row>
    <row r="6" spans="1:4" s="26" customFormat="1" ht="55.2" customHeight="1" x14ac:dyDescent="0.3">
      <c r="A6" s="95" t="s">
        <v>10</v>
      </c>
      <c r="B6" s="49" t="s">
        <v>11</v>
      </c>
      <c r="C6" s="78" t="s">
        <v>12</v>
      </c>
      <c r="D6" s="78"/>
    </row>
    <row r="7" spans="1:4" s="26" customFormat="1" x14ac:dyDescent="0.3">
      <c r="A7" s="84"/>
      <c r="B7" s="97"/>
      <c r="C7" s="97"/>
      <c r="D7" s="74"/>
    </row>
    <row r="8" spans="1:4" ht="82.95" customHeight="1" x14ac:dyDescent="0.3">
      <c r="A8" s="95" t="s">
        <v>13</v>
      </c>
      <c r="B8" s="78" t="s">
        <v>14</v>
      </c>
      <c r="C8" s="78" t="s">
        <v>15</v>
      </c>
      <c r="D8" s="78"/>
    </row>
    <row r="9" spans="1:4" s="26" customFormat="1" ht="14.4" x14ac:dyDescent="0.3">
      <c r="A9" s="99"/>
      <c r="B9" s="100"/>
      <c r="C9" s="97"/>
      <c r="D9" s="74"/>
    </row>
    <row r="10" spans="1:4" ht="69" customHeight="1" x14ac:dyDescent="0.3">
      <c r="A10" s="95" t="s">
        <v>16</v>
      </c>
      <c r="B10" s="78" t="s">
        <v>17</v>
      </c>
      <c r="C10" s="78" t="s">
        <v>18</v>
      </c>
      <c r="D10" s="78"/>
    </row>
    <row r="11" spans="1:4" s="26" customFormat="1" x14ac:dyDescent="0.3">
      <c r="A11" s="98"/>
    </row>
  </sheetData>
  <mergeCells count="3">
    <mergeCell ref="A9:B9"/>
    <mergeCell ref="A3:B3"/>
    <mergeCell ref="A5:B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32"/>
  <sheetViews>
    <sheetView workbookViewId="0"/>
  </sheetViews>
  <sheetFormatPr defaultColWidth="9.109375" defaultRowHeight="14.4" x14ac:dyDescent="0.3"/>
  <cols>
    <col min="1" max="1" width="27.6640625" style="32" bestFit="1" customWidth="1"/>
    <col min="2" max="2" width="123.109375" style="32" customWidth="1"/>
    <col min="3" max="3" width="14.44140625" style="32" bestFit="1" customWidth="1"/>
    <col min="4" max="4" width="62" style="32" bestFit="1" customWidth="1"/>
    <col min="5" max="6" width="9.109375" style="32" customWidth="1"/>
    <col min="7" max="16384" width="9.109375" style="32"/>
  </cols>
  <sheetData>
    <row r="1" spans="1:2" x14ac:dyDescent="0.3">
      <c r="A1" s="31" t="s">
        <v>552</v>
      </c>
    </row>
    <row r="2" spans="1:2" x14ac:dyDescent="0.3">
      <c r="A2" s="146" t="s">
        <v>553</v>
      </c>
      <c r="B2" s="110"/>
    </row>
    <row r="3" spans="1:2" ht="45.75" customHeight="1" x14ac:dyDescent="0.3">
      <c r="A3" s="148" t="s">
        <v>554</v>
      </c>
      <c r="B3" s="110"/>
    </row>
    <row r="4" spans="1:2" x14ac:dyDescent="0.3">
      <c r="A4" s="75" t="s">
        <v>555</v>
      </c>
      <c r="B4" s="33"/>
    </row>
    <row r="5" spans="1:2" x14ac:dyDescent="0.3">
      <c r="A5" s="146" t="s">
        <v>556</v>
      </c>
      <c r="B5" s="110"/>
    </row>
    <row r="6" spans="1:2" ht="49.5" customHeight="1" x14ac:dyDescent="0.3">
      <c r="A6" s="148" t="s">
        <v>557</v>
      </c>
      <c r="B6" s="110"/>
    </row>
    <row r="7" spans="1:2" ht="158.4" customHeight="1" x14ac:dyDescent="0.3">
      <c r="A7" s="96" t="s">
        <v>558</v>
      </c>
      <c r="B7" s="34" t="s">
        <v>559</v>
      </c>
    </row>
    <row r="8" spans="1:2" x14ac:dyDescent="0.3">
      <c r="A8" s="94" t="s">
        <v>560</v>
      </c>
      <c r="B8" s="16"/>
    </row>
    <row r="9" spans="1:2" x14ac:dyDescent="0.3">
      <c r="A9" s="85" t="s">
        <v>561</v>
      </c>
      <c r="B9" s="30"/>
    </row>
    <row r="10" spans="1:2" x14ac:dyDescent="0.3">
      <c r="A10" s="83" t="s">
        <v>562</v>
      </c>
      <c r="B10" s="77"/>
    </row>
    <row r="11" spans="1:2" x14ac:dyDescent="0.3">
      <c r="A11" s="83" t="s">
        <v>563</v>
      </c>
      <c r="B11" s="77"/>
    </row>
    <row r="12" spans="1:2" x14ac:dyDescent="0.3">
      <c r="A12" s="146" t="s">
        <v>564</v>
      </c>
      <c r="B12" s="110"/>
    </row>
    <row r="13" spans="1:2" ht="46.5" customHeight="1" x14ac:dyDescent="0.3">
      <c r="A13" s="148" t="s">
        <v>565</v>
      </c>
      <c r="B13" s="110"/>
    </row>
    <row r="14" spans="1:2" x14ac:dyDescent="0.3">
      <c r="A14" s="96" t="s">
        <v>566</v>
      </c>
      <c r="B14" s="34"/>
    </row>
    <row r="15" spans="1:2" x14ac:dyDescent="0.3">
      <c r="A15" s="94" t="s">
        <v>567</v>
      </c>
      <c r="B15" s="16"/>
    </row>
    <row r="16" spans="1:2" x14ac:dyDescent="0.3">
      <c r="A16" s="146" t="s">
        <v>568</v>
      </c>
      <c r="B16" s="110"/>
    </row>
    <row r="17" spans="1:2" ht="32.25" customHeight="1" x14ac:dyDescent="0.3">
      <c r="A17" s="148" t="s">
        <v>569</v>
      </c>
      <c r="B17" s="110"/>
    </row>
    <row r="18" spans="1:2" x14ac:dyDescent="0.3">
      <c r="A18" s="94" t="s">
        <v>566</v>
      </c>
      <c r="B18" s="16"/>
    </row>
    <row r="19" spans="1:2" x14ac:dyDescent="0.3">
      <c r="A19" s="94" t="s">
        <v>567</v>
      </c>
      <c r="B19" s="16"/>
    </row>
    <row r="20" spans="1:2" x14ac:dyDescent="0.3">
      <c r="A20" s="144" t="s">
        <v>570</v>
      </c>
      <c r="B20" s="115"/>
    </row>
    <row r="21" spans="1:2" ht="62.25" customHeight="1" x14ac:dyDescent="0.3">
      <c r="A21" s="145" t="s">
        <v>571</v>
      </c>
      <c r="B21" s="116"/>
    </row>
    <row r="22" spans="1:2" x14ac:dyDescent="0.3">
      <c r="A22" s="94" t="s">
        <v>566</v>
      </c>
      <c r="B22" s="16"/>
    </row>
    <row r="23" spans="1:2" x14ac:dyDescent="0.3">
      <c r="A23" s="94" t="s">
        <v>567</v>
      </c>
      <c r="B23" s="16"/>
    </row>
    <row r="24" spans="1:2" x14ac:dyDescent="0.3">
      <c r="A24" s="144" t="s">
        <v>572</v>
      </c>
      <c r="B24" s="115"/>
    </row>
    <row r="25" spans="1:2" x14ac:dyDescent="0.3">
      <c r="A25" s="147" t="s">
        <v>573</v>
      </c>
      <c r="B25" s="116"/>
    </row>
    <row r="26" spans="1:2" x14ac:dyDescent="0.3">
      <c r="A26" s="117"/>
      <c r="B26" s="100"/>
    </row>
    <row r="27" spans="1:2" ht="277.5" customHeight="1" x14ac:dyDescent="0.3">
      <c r="A27" s="119"/>
      <c r="B27" s="121"/>
    </row>
    <row r="28" spans="1:2" x14ac:dyDescent="0.3">
      <c r="A28" s="76" t="s">
        <v>4</v>
      </c>
      <c r="B28" s="57" t="s">
        <v>574</v>
      </c>
    </row>
    <row r="29" spans="1:2" x14ac:dyDescent="0.3">
      <c r="A29" s="76" t="s">
        <v>7</v>
      </c>
      <c r="B29" s="57"/>
    </row>
    <row r="30" spans="1:2" x14ac:dyDescent="0.3">
      <c r="A30" s="76" t="s">
        <v>10</v>
      </c>
      <c r="B30" s="57"/>
    </row>
    <row r="31" spans="1:2" x14ac:dyDescent="0.3">
      <c r="A31" s="76" t="s">
        <v>13</v>
      </c>
      <c r="B31" s="57"/>
    </row>
    <row r="32" spans="1:2" x14ac:dyDescent="0.3">
      <c r="A32" s="76" t="s">
        <v>16</v>
      </c>
      <c r="B32" s="57"/>
    </row>
  </sheetData>
  <mergeCells count="12">
    <mergeCell ref="A25:B27"/>
    <mergeCell ref="A5:B5"/>
    <mergeCell ref="A13:B13"/>
    <mergeCell ref="A17:B17"/>
    <mergeCell ref="A3:B3"/>
    <mergeCell ref="A6:B6"/>
    <mergeCell ref="A12:B12"/>
    <mergeCell ref="A20:B20"/>
    <mergeCell ref="A21:B21"/>
    <mergeCell ref="A16:B16"/>
    <mergeCell ref="A2:B2"/>
    <mergeCell ref="A24:B24"/>
  </mergeCells>
  <pageMargins left="0.7" right="0.7" top="0.75" bottom="0.75" header="0.3" footer="0.3"/>
  <pageSetup paperSize="9" orientation="portrai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96"/>
  <sheetViews>
    <sheetView workbookViewId="0"/>
  </sheetViews>
  <sheetFormatPr defaultColWidth="9.109375" defaultRowHeight="14.4" x14ac:dyDescent="0.3"/>
  <cols>
    <col min="1" max="1" width="70.6640625" style="29" customWidth="1"/>
    <col min="2" max="3" width="70.6640625" style="32" customWidth="1"/>
    <col min="4" max="5" width="50.6640625" style="32" customWidth="1"/>
    <col min="6" max="7" width="9.109375" style="32" customWidth="1"/>
    <col min="8" max="16384" width="9.109375" style="32"/>
  </cols>
  <sheetData>
    <row r="1" spans="1:1" x14ac:dyDescent="0.3">
      <c r="A1" s="29" t="s">
        <v>575</v>
      </c>
    </row>
    <row r="2" spans="1:1" x14ac:dyDescent="0.3">
      <c r="A2" s="29" t="s">
        <v>576</v>
      </c>
    </row>
    <row r="4" spans="1:1" x14ac:dyDescent="0.3">
      <c r="A4" s="29" t="s">
        <v>577</v>
      </c>
    </row>
    <row r="5" spans="1:1" x14ac:dyDescent="0.3">
      <c r="A5" s="29" t="s">
        <v>578</v>
      </c>
    </row>
    <row r="6" spans="1:1" x14ac:dyDescent="0.3">
      <c r="A6" s="29" t="s">
        <v>579</v>
      </c>
    </row>
    <row r="7" spans="1:1" x14ac:dyDescent="0.3">
      <c r="A7" s="29" t="s">
        <v>580</v>
      </c>
    </row>
    <row r="8" spans="1:1" x14ac:dyDescent="0.3">
      <c r="A8" s="29" t="s">
        <v>581</v>
      </c>
    </row>
    <row r="10" spans="1:1" x14ac:dyDescent="0.3">
      <c r="A10" s="15" t="s">
        <v>582</v>
      </c>
    </row>
    <row r="11" spans="1:1" x14ac:dyDescent="0.3">
      <c r="A11" s="15" t="s">
        <v>583</v>
      </c>
    </row>
    <row r="12" spans="1:1" x14ac:dyDescent="0.3">
      <c r="A12" s="15" t="s">
        <v>584</v>
      </c>
    </row>
    <row r="13" spans="1:1" ht="28.95" customHeight="1" x14ac:dyDescent="0.3">
      <c r="A13" s="15" t="s">
        <v>585</v>
      </c>
    </row>
    <row r="14" spans="1:1" ht="43.2" customHeight="1" x14ac:dyDescent="0.3">
      <c r="A14" s="15" t="s">
        <v>586</v>
      </c>
    </row>
    <row r="15" spans="1:1" ht="28.95" customHeight="1" x14ac:dyDescent="0.3">
      <c r="A15" s="29" t="s">
        <v>587</v>
      </c>
    </row>
    <row r="16" spans="1:1" x14ac:dyDescent="0.3">
      <c r="A16" s="15"/>
    </row>
    <row r="17" spans="1:3" ht="100.95" customHeight="1" x14ac:dyDescent="0.3">
      <c r="A17" s="29" t="s">
        <v>588</v>
      </c>
    </row>
    <row r="18" spans="1:3" ht="100.95" customHeight="1" x14ac:dyDescent="0.3">
      <c r="A18" s="29" t="s">
        <v>589</v>
      </c>
    </row>
    <row r="19" spans="1:3" ht="100.95" customHeight="1" x14ac:dyDescent="0.3">
      <c r="A19" s="29" t="s">
        <v>590</v>
      </c>
    </row>
    <row r="20" spans="1:3" ht="158.4" customHeight="1" x14ac:dyDescent="0.3">
      <c r="A20" s="29" t="s">
        <v>591</v>
      </c>
    </row>
    <row r="21" spans="1:3" ht="86.4" customHeight="1" x14ac:dyDescent="0.3">
      <c r="A21" s="29" t="s">
        <v>592</v>
      </c>
    </row>
    <row r="22" spans="1:3" ht="100.95" customHeight="1" x14ac:dyDescent="0.3">
      <c r="A22" s="28" t="s">
        <v>593</v>
      </c>
    </row>
    <row r="23" spans="1:3" ht="100.95" customHeight="1" x14ac:dyDescent="0.3">
      <c r="A23" s="29" t="s">
        <v>594</v>
      </c>
    </row>
    <row r="25" spans="1:3" ht="230.4" customHeight="1" x14ac:dyDescent="0.3">
      <c r="A25" s="15" t="s">
        <v>559</v>
      </c>
      <c r="B25" s="29" t="s">
        <v>595</v>
      </c>
      <c r="C25" s="29" t="s">
        <v>596</v>
      </c>
    </row>
    <row r="26" spans="1:3" ht="216" customHeight="1" x14ac:dyDescent="0.3">
      <c r="A26" s="28" t="s">
        <v>597</v>
      </c>
      <c r="B26" s="29" t="s">
        <v>598</v>
      </c>
      <c r="C26" s="29" t="s">
        <v>599</v>
      </c>
    </row>
    <row r="27" spans="1:3" ht="316.95" customHeight="1" x14ac:dyDescent="0.3">
      <c r="A27" s="14" t="s">
        <v>600</v>
      </c>
      <c r="B27" s="29" t="s">
        <v>601</v>
      </c>
      <c r="C27" s="29" t="s">
        <v>602</v>
      </c>
    </row>
    <row r="28" spans="1:3" ht="302.39999999999998" customHeight="1" x14ac:dyDescent="0.3">
      <c r="A28" s="14" t="s">
        <v>603</v>
      </c>
      <c r="B28" s="29" t="s">
        <v>604</v>
      </c>
      <c r="C28" s="29" t="s">
        <v>605</v>
      </c>
    </row>
    <row r="29" spans="1:3" ht="374.4" customHeight="1" x14ac:dyDescent="0.3">
      <c r="A29" s="15" t="s">
        <v>606</v>
      </c>
      <c r="B29" s="29" t="s">
        <v>607</v>
      </c>
      <c r="C29" s="29" t="s">
        <v>608</v>
      </c>
    </row>
    <row r="31" spans="1:3" ht="100.95" customHeight="1" x14ac:dyDescent="0.3">
      <c r="A31" s="29" t="s">
        <v>609</v>
      </c>
    </row>
    <row r="32" spans="1:3" ht="86.4" customHeight="1" x14ac:dyDescent="0.3">
      <c r="A32" s="29" t="s">
        <v>610</v>
      </c>
    </row>
    <row r="33" spans="1:1" ht="100.95" customHeight="1" x14ac:dyDescent="0.3">
      <c r="A33" s="29" t="s">
        <v>611</v>
      </c>
    </row>
    <row r="34" spans="1:1" ht="100.95" customHeight="1" x14ac:dyDescent="0.3">
      <c r="A34" s="29" t="s">
        <v>612</v>
      </c>
    </row>
    <row r="35" spans="1:1" ht="86.4" customHeight="1" x14ac:dyDescent="0.3">
      <c r="A35" s="29" t="s">
        <v>613</v>
      </c>
    </row>
    <row r="37" spans="1:1" ht="288" customHeight="1" x14ac:dyDescent="0.3">
      <c r="A37" s="29" t="s">
        <v>614</v>
      </c>
    </row>
    <row r="38" spans="1:1" ht="288" customHeight="1" x14ac:dyDescent="0.3">
      <c r="A38" s="29" t="s">
        <v>615</v>
      </c>
    </row>
    <row r="39" spans="1:1" ht="230.4" customHeight="1" x14ac:dyDescent="0.3">
      <c r="A39" s="29" t="s">
        <v>616</v>
      </c>
    </row>
    <row r="40" spans="1:1" ht="230.4" customHeight="1" x14ac:dyDescent="0.3">
      <c r="A40" s="29" t="s">
        <v>617</v>
      </c>
    </row>
    <row r="41" spans="1:1" ht="302.39999999999998" customHeight="1" x14ac:dyDescent="0.3">
      <c r="A41" s="29" t="s">
        <v>618</v>
      </c>
    </row>
    <row r="42" spans="1:1" ht="244.95" customHeight="1" x14ac:dyDescent="0.3">
      <c r="A42" s="29" t="s">
        <v>619</v>
      </c>
    </row>
    <row r="43" spans="1:1" ht="273.60000000000002" customHeight="1" x14ac:dyDescent="0.3">
      <c r="A43" s="29" t="s">
        <v>620</v>
      </c>
    </row>
    <row r="44" spans="1:1" ht="201.6" customHeight="1" x14ac:dyDescent="0.3">
      <c r="A44" s="29" t="s">
        <v>621</v>
      </c>
    </row>
    <row r="45" spans="1:1" ht="158.4" customHeight="1" x14ac:dyDescent="0.3">
      <c r="A45" s="29" t="s">
        <v>622</v>
      </c>
    </row>
    <row r="46" spans="1:1" ht="172.95" customHeight="1" x14ac:dyDescent="0.3">
      <c r="A46" s="29" t="s">
        <v>623</v>
      </c>
    </row>
    <row r="47" spans="1:1" ht="273.60000000000002" customHeight="1" x14ac:dyDescent="0.3">
      <c r="A47" s="29" t="s">
        <v>624</v>
      </c>
    </row>
    <row r="48" spans="1:1" ht="172.95" customHeight="1" x14ac:dyDescent="0.3">
      <c r="A48" s="29" t="s">
        <v>625</v>
      </c>
    </row>
    <row r="49" spans="1:1" ht="172.95" customHeight="1" x14ac:dyDescent="0.3">
      <c r="A49" s="29" t="s">
        <v>626</v>
      </c>
    </row>
    <row r="50" spans="1:1" ht="230.4" customHeight="1" x14ac:dyDescent="0.3">
      <c r="A50" s="29" t="s">
        <v>627</v>
      </c>
    </row>
    <row r="51" spans="1:1" ht="172.95" customHeight="1" x14ac:dyDescent="0.3">
      <c r="A51" s="29" t="s">
        <v>628</v>
      </c>
    </row>
    <row r="52" spans="1:1" ht="201.6" customHeight="1" x14ac:dyDescent="0.3">
      <c r="A52" s="29" t="s">
        <v>629</v>
      </c>
    </row>
    <row r="54" spans="1:1" x14ac:dyDescent="0.3">
      <c r="A54" s="29" t="s">
        <v>335</v>
      </c>
    </row>
    <row r="55" spans="1:1" x14ac:dyDescent="0.3">
      <c r="A55" s="29" t="s">
        <v>630</v>
      </c>
    </row>
    <row r="56" spans="1:1" x14ac:dyDescent="0.3">
      <c r="A56" s="29" t="s">
        <v>631</v>
      </c>
    </row>
    <row r="57" spans="1:1" x14ac:dyDescent="0.3">
      <c r="A57" s="29" t="s">
        <v>632</v>
      </c>
    </row>
    <row r="58" spans="1:1" x14ac:dyDescent="0.3">
      <c r="A58" s="29" t="s">
        <v>633</v>
      </c>
    </row>
    <row r="59" spans="1:1" x14ac:dyDescent="0.3">
      <c r="A59" s="29" t="s">
        <v>634</v>
      </c>
    </row>
    <row r="60" spans="1:1" x14ac:dyDescent="0.3">
      <c r="A60" s="29" t="s">
        <v>635</v>
      </c>
    </row>
    <row r="62" spans="1:1" x14ac:dyDescent="0.3">
      <c r="A62" s="29" t="s">
        <v>636</v>
      </c>
    </row>
    <row r="63" spans="1:1" x14ac:dyDescent="0.3">
      <c r="A63" s="29" t="s">
        <v>637</v>
      </c>
    </row>
    <row r="64" spans="1:1" x14ac:dyDescent="0.3">
      <c r="A64" s="29" t="s">
        <v>638</v>
      </c>
    </row>
    <row r="65" spans="1:1" x14ac:dyDescent="0.3">
      <c r="A65" s="29" t="s">
        <v>639</v>
      </c>
    </row>
    <row r="66" spans="1:1" x14ac:dyDescent="0.3">
      <c r="A66" s="29" t="s">
        <v>640</v>
      </c>
    </row>
    <row r="67" spans="1:1" x14ac:dyDescent="0.3">
      <c r="A67" s="29" t="s">
        <v>641</v>
      </c>
    </row>
    <row r="68" spans="1:1" x14ac:dyDescent="0.3">
      <c r="A68" s="29" t="s">
        <v>642</v>
      </c>
    </row>
    <row r="69" spans="1:1" x14ac:dyDescent="0.3">
      <c r="A69" s="29" t="s">
        <v>643</v>
      </c>
    </row>
    <row r="70" spans="1:1" x14ac:dyDescent="0.3">
      <c r="A70" s="29" t="s">
        <v>644</v>
      </c>
    </row>
    <row r="71" spans="1:1" x14ac:dyDescent="0.3">
      <c r="A71" s="29" t="s">
        <v>645</v>
      </c>
    </row>
    <row r="72" spans="1:1" x14ac:dyDescent="0.3">
      <c r="A72" s="29" t="s">
        <v>646</v>
      </c>
    </row>
    <row r="73" spans="1:1" x14ac:dyDescent="0.3">
      <c r="A73" s="29" t="s">
        <v>647</v>
      </c>
    </row>
    <row r="74" spans="1:1" x14ac:dyDescent="0.3">
      <c r="A74" s="29" t="s">
        <v>648</v>
      </c>
    </row>
    <row r="75" spans="1:1" x14ac:dyDescent="0.3">
      <c r="A75" s="29" t="s">
        <v>649</v>
      </c>
    </row>
    <row r="76" spans="1:1" x14ac:dyDescent="0.3">
      <c r="A76" s="29" t="s">
        <v>650</v>
      </c>
    </row>
    <row r="77" spans="1:1" x14ac:dyDescent="0.3">
      <c r="A77" s="29" t="s">
        <v>651</v>
      </c>
    </row>
    <row r="78" spans="1:1" x14ac:dyDescent="0.3">
      <c r="A78" s="29" t="s">
        <v>652</v>
      </c>
    </row>
    <row r="79" spans="1:1" x14ac:dyDescent="0.3">
      <c r="A79" s="29" t="s">
        <v>653</v>
      </c>
    </row>
    <row r="80" spans="1:1" x14ac:dyDescent="0.3">
      <c r="A80" s="29" t="s">
        <v>654</v>
      </c>
    </row>
    <row r="81" spans="1:1" x14ac:dyDescent="0.3">
      <c r="A81" s="29" t="s">
        <v>655</v>
      </c>
    </row>
    <row r="83" spans="1:1" x14ac:dyDescent="0.3">
      <c r="A83" s="29" t="s">
        <v>656</v>
      </c>
    </row>
    <row r="84" spans="1:1" x14ac:dyDescent="0.3">
      <c r="A84" s="29" t="s">
        <v>657</v>
      </c>
    </row>
    <row r="86" spans="1:1" ht="72" customHeight="1" x14ac:dyDescent="0.3">
      <c r="A86" s="28" t="s">
        <v>658</v>
      </c>
    </row>
    <row r="87" spans="1:1" ht="72" customHeight="1" x14ac:dyDescent="0.3">
      <c r="A87" s="28" t="s">
        <v>659</v>
      </c>
    </row>
    <row r="88" spans="1:1" ht="72" customHeight="1" x14ac:dyDescent="0.3">
      <c r="A88" s="28" t="s">
        <v>660</v>
      </c>
    </row>
    <row r="89" spans="1:1" ht="72" customHeight="1" x14ac:dyDescent="0.3">
      <c r="A89" s="28" t="s">
        <v>661</v>
      </c>
    </row>
    <row r="90" spans="1:1" ht="43.2" customHeight="1" x14ac:dyDescent="0.3">
      <c r="A90" s="28" t="s">
        <v>662</v>
      </c>
    </row>
    <row r="91" spans="1:1" ht="57.6" customHeight="1" x14ac:dyDescent="0.3">
      <c r="A91" s="28" t="s">
        <v>663</v>
      </c>
    </row>
    <row r="93" spans="1:1" ht="374.4" customHeight="1" x14ac:dyDescent="0.3">
      <c r="A93" s="29" t="s">
        <v>664</v>
      </c>
    </row>
    <row r="94" spans="1:1" ht="374.4" customHeight="1" x14ac:dyDescent="0.3">
      <c r="A94" s="29" t="s">
        <v>665</v>
      </c>
    </row>
    <row r="95" spans="1:1" ht="360" customHeight="1" x14ac:dyDescent="0.3">
      <c r="A95" s="29" t="s">
        <v>666</v>
      </c>
    </row>
    <row r="96" spans="1:1" ht="331.2" customHeight="1" x14ac:dyDescent="0.3">
      <c r="A96" s="29" t="s">
        <v>667</v>
      </c>
    </row>
  </sheetData>
  <pageMargins left="0.7" right="0.7" top="0.75" bottom="0.75" header="0.3" footer="0.3"/>
  <pageSetup paperSize="9" orientation="portrait" horizontalDpi="4294967293" verticalDpi="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Fase 1.0 | Loopbaanfasen</vt:lpstr>
      <vt:lpstr>Fase 1.1 | Big Five Dimensies</vt:lpstr>
      <vt:lpstr>Fase 2.0 | Loopbaanankers</vt:lpstr>
      <vt:lpstr>Fase 2.1 | Carriere Clusters</vt:lpstr>
      <vt:lpstr>Fase 2.2 | Cultuur analyse</vt:lpstr>
      <vt:lpstr>Fase 2.3 | J.C.M.</vt:lpstr>
      <vt:lpstr>Rapport</vt:lpstr>
      <vt:lpstr>Gegevens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 Mostert</dc:creator>
  <cp:lastModifiedBy>Lucas (L.M.M.) Peters</cp:lastModifiedBy>
  <dcterms:created xsi:type="dcterms:W3CDTF">2018-05-14T18:59:35Z</dcterms:created>
  <dcterms:modified xsi:type="dcterms:W3CDTF">2026-03-16T08:54:31Z</dcterms:modified>
</cp:coreProperties>
</file>