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108" windowWidth="23256" windowHeight="12456"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9"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49">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4" fillId="10" borderId="1" applyAlignment="1" pivotButton="0" quotePrefix="0" xfId="0">
      <alignment horizontal="center"/>
    </xf>
    <xf numFmtId="0" fontId="4" fillId="10" borderId="15" applyAlignment="1" pivotButton="0" quotePrefix="0" xfId="0">
      <alignment horizontal="center"/>
    </xf>
    <xf numFmtId="0" fontId="0" fillId="0" borderId="15" pivotButton="0" quotePrefix="0" xfId="0"/>
    <xf numFmtId="0" fontId="4" fillId="2" borderId="1" applyAlignment="1" pivotButton="0" quotePrefix="0" xfId="0">
      <alignment horizontal="center" vertical="center"/>
    </xf>
    <xf numFmtId="0" fontId="0" fillId="0" borderId="4" pivotButton="0" quotePrefix="0" xfId="0"/>
    <xf numFmtId="0" fontId="0" fillId="0" borderId="3" pivotButton="0" quotePrefix="0" xfId="0"/>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2" fillId="0" borderId="1" applyAlignment="1" pivotButton="0" quotePrefix="0" xfId="0">
      <alignment vertical="center"/>
    </xf>
    <xf numFmtId="0" fontId="2" fillId="0" borderId="1" applyAlignment="1" pivotButton="0" quotePrefix="0" xfId="0">
      <alignment vertical="top" wrapText="1"/>
    </xf>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2" fillId="0" borderId="1" applyAlignment="1" pivotButton="0" quotePrefix="0" xfId="0">
      <alignment horizontal="left"/>
    </xf>
    <xf numFmtId="0" fontId="4" fillId="0" borderId="0" applyAlignment="1" pivotButton="0" quotePrefix="0" xfId="0">
      <alignment horizontal="center"/>
    </xf>
    <xf numFmtId="0" fontId="2" fillId="0" borderId="0" applyAlignment="1" pivotButton="0" quotePrefix="0" xfId="0">
      <alignment horizontal="center"/>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5" fillId="0" borderId="1" applyAlignment="1" pivotButton="0" quotePrefix="0" xfId="0">
      <alignment horizontal="center" vertic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0" borderId="7" applyAlignment="1" pivotButton="0" quotePrefix="0" xfId="0">
      <alignment horizontal="center"/>
    </xf>
    <xf numFmtId="0" fontId="2" fillId="0" borderId="0" pivotButton="0" quotePrefix="0" xfId="0"/>
    <xf numFmtId="0" fontId="16" fillId="0" borderId="1" applyAlignment="1" pivotButton="0" quotePrefix="0" xfId="0">
      <alignment horizontal="left" vertical="top" wrapText="1"/>
    </xf>
    <xf numFmtId="0" fontId="4" fillId="2" borderId="1" applyAlignment="1" pivotButton="0" quotePrefix="0" xfId="0">
      <alignment horizontal="center" vertical="center" wrapText="1"/>
    </xf>
    <xf numFmtId="0" fontId="3" fillId="10" borderId="0" applyAlignment="1" pivotButton="0" quotePrefix="0" xfId="0">
      <alignment horizontal="center" vertical="center"/>
    </xf>
    <xf numFmtId="0" fontId="4" fillId="10" borderId="4" applyAlignment="1" pivotButton="0" quotePrefix="0" xfId="0">
      <alignment horizontal="center"/>
    </xf>
    <xf numFmtId="0" fontId="4" fillId="0" borderId="0" pivotButton="0" quotePrefix="0" xfId="0"/>
    <xf numFmtId="0" fontId="3" fillId="10" borderId="3" applyAlignment="1" pivotButton="0" quotePrefix="0" xfId="0">
      <alignment horizontal="center" vertical="center"/>
    </xf>
    <xf numFmtId="0" fontId="3" fillId="10" borderId="1" applyAlignment="1" pivotButton="0" quotePrefix="0" xfId="0">
      <alignment horizontal="left" vertical="top" wrapText="1"/>
    </xf>
    <xf numFmtId="0" fontId="7" fillId="0" borderId="1" applyAlignment="1" pivotButton="0" quotePrefix="0" xfId="0">
      <alignment horizontal="left" vertical="top" wrapText="1"/>
    </xf>
    <xf numFmtId="0" fontId="4" fillId="10" borderId="3" applyAlignment="1" pivotButton="0" quotePrefix="0" xfId="0">
      <alignment horizont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4" fillId="10" borderId="8" applyAlignment="1" pivotButton="0" quotePrefix="0" xfId="0">
      <alignment horizontal="center"/>
    </xf>
    <xf numFmtId="0" fontId="13" fillId="10" borderId="5" applyAlignment="1" pivotButton="0" quotePrefix="0" xfId="0">
      <alignment horizontal="center" vertical="top"/>
    </xf>
    <xf numFmtId="0" fontId="0" fillId="0" borderId="2" applyAlignment="1" pivotButton="0" quotePrefix="0" xfId="0">
      <alignment horizontal="left" vertical="top" wrapText="1"/>
    </xf>
    <xf numFmtId="0" fontId="13" fillId="10" borderId="1" applyAlignment="1" pivotButton="0" quotePrefix="0" xfId="0">
      <alignment horizontal="center" vertical="top"/>
    </xf>
    <xf numFmtId="0" fontId="0" fillId="0" borderId="1" applyAlignment="1" pivotButton="0" quotePrefix="0" xfId="0">
      <alignment horizontal="center" vertical="top" wrapText="1"/>
    </xf>
    <xf numFmtId="0" fontId="12" fillId="0" borderId="1" applyAlignment="1" pivotButton="0" quotePrefix="0" xfId="0">
      <alignment horizontal="left" vertical="top" wrapText="1"/>
    </xf>
  </cellXfs>
  <cellStyles count="4">
    <cellStyle name="Normal"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128" min="1" max="1"/>
    <col width="35.6640625" bestFit="1" customWidth="1" style="128" min="2" max="2"/>
    <col width="48.88671875" bestFit="1" customWidth="1" style="128" min="3" max="3"/>
    <col width="9.109375" customWidth="1" style="128" min="4" max="7"/>
    <col width="9.109375" customWidth="1" style="128" min="8" max="16384"/>
  </cols>
  <sheetData>
    <row r="1" ht="83.25" customHeight="1">
      <c r="A1" s="108" t="inlineStr">
        <is>
          <t>Loopbaanfasen van Donald Super</t>
        </is>
      </c>
      <c r="B1" s="109" t="n"/>
      <c r="C1" s="110" t="n"/>
    </row>
    <row r="2">
      <c r="A2" s="108" t="inlineStr">
        <is>
          <t>Leeftijd</t>
        </is>
      </c>
      <c r="B2" s="108" t="inlineStr">
        <is>
          <t>Loopbaanfase</t>
        </is>
      </c>
      <c r="C2" s="108" t="inlineStr">
        <is>
          <t>Omschrijving</t>
        </is>
      </c>
    </row>
    <row r="3">
      <c r="A3" s="101" t="inlineStr">
        <is>
          <t>15-24</t>
        </is>
      </c>
      <c r="B3" s="105" t="inlineStr">
        <is>
          <t>Verkenning</t>
        </is>
      </c>
      <c r="C3" s="104" t="inlineStr">
        <is>
          <t xml:space="preserve">Het in kaart brengen van het zelf en de werkende wereld
om het zelfbeeld te verduidelijken en de hierbij passende
beroepen vast te stellen.
</t>
        </is>
      </c>
    </row>
    <row r="4">
      <c r="A4" s="102" t="n"/>
      <c r="B4" s="102" t="n"/>
      <c r="C4" s="102" t="n"/>
    </row>
    <row r="5">
      <c r="A5" s="103" t="n"/>
      <c r="B5" s="103" t="n"/>
      <c r="C5" s="103" t="n"/>
    </row>
    <row r="6">
      <c r="A6" s="101" t="inlineStr">
        <is>
          <t>25-44</t>
        </is>
      </c>
      <c r="B6" s="105" t="inlineStr">
        <is>
          <t>Keuze</t>
        </is>
      </c>
      <c r="C6" s="104" t="inlineStr">
        <is>
          <t xml:space="preserve">De persoon kiest, wellicht na een of twee valse starts,
voor een bepaald beroep en probeert zichzelf hierin te 
bewijzen.
</t>
        </is>
      </c>
    </row>
    <row r="7">
      <c r="A7" s="102" t="n"/>
      <c r="B7" s="102" t="n"/>
      <c r="C7" s="102" t="n"/>
    </row>
    <row r="8">
      <c r="A8" s="103" t="n"/>
      <c r="B8" s="103" t="n"/>
      <c r="C8" s="103" t="n"/>
    </row>
    <row r="9">
      <c r="A9" s="101" t="inlineStr">
        <is>
          <t>45-64</t>
        </is>
      </c>
      <c r="B9" s="105" t="inlineStr">
        <is>
          <t>Onderhoud</t>
        </is>
      </c>
      <c r="C9" s="104" t="inlineStr">
        <is>
          <t xml:space="preserve">Belangrijk is om nu de gekozen niche vast te houden.
Dit kan lastig zijn, met name in het licht van technologische
ontwikkelingen en concurrentie van jongere collega's.
</t>
        </is>
      </c>
    </row>
    <row r="10">
      <c r="A10" s="102" t="n"/>
      <c r="B10" s="102" t="n"/>
      <c r="C10" s="102" t="n"/>
    </row>
    <row r="11">
      <c r="A11" s="103" t="n"/>
      <c r="B11" s="103" t="n"/>
      <c r="C11" s="103" t="n"/>
    </row>
    <row r="12">
      <c r="A12" s="101" t="inlineStr">
        <is>
          <t>65 en ouder</t>
        </is>
      </c>
      <c r="B12" s="105" t="inlineStr">
        <is>
          <t>Terugtrekking</t>
        </is>
      </c>
      <c r="C12" s="104" t="inlineStr">
        <is>
          <t xml:space="preserve">Deze fase wordt gekenmerkt door een steeds minder
wordende betrokkenheid bij het werk en de neiging 
om een observerende positie in te nemen.
</t>
        </is>
      </c>
    </row>
    <row r="13">
      <c r="A13" s="102" t="n"/>
      <c r="B13" s="102" t="n"/>
      <c r="C13" s="102" t="n"/>
    </row>
    <row r="14">
      <c r="A14" s="103" t="n"/>
      <c r="B14" s="103" t="n"/>
      <c r="C14" s="103" t="n"/>
    </row>
    <row r="16" ht="14.4" customHeight="1">
      <c r="A16" s="108" t="inlineStr">
        <is>
          <t>Loopbaanfasen van Levinson en Levinson</t>
        </is>
      </c>
      <c r="B16" s="109" t="n"/>
      <c r="C16" s="110" t="n"/>
    </row>
    <row r="17">
      <c r="A17" s="108" t="inlineStr">
        <is>
          <t>Leeftijd</t>
        </is>
      </c>
      <c r="B17" s="108" t="inlineStr">
        <is>
          <t>Loopbaanfase</t>
        </is>
      </c>
      <c r="C17" s="122" t="inlineStr">
        <is>
          <t>Omschrijving</t>
        </is>
      </c>
    </row>
    <row r="18">
      <c r="A18" s="101" t="inlineStr">
        <is>
          <t>17-21</t>
        </is>
      </c>
      <c r="B18" s="105" t="inlineStr">
        <is>
          <t>Overgang naar vroege volwassenheid</t>
        </is>
      </c>
      <c r="C18" s="107" t="inlineStr">
        <is>
          <t xml:space="preserve">Een periode waarin iemand zich een plekje in de wereld
probeert te verwerven.
</t>
        </is>
      </c>
    </row>
    <row r="19">
      <c r="A19" s="103" t="n"/>
      <c r="B19" s="103" t="n"/>
      <c r="C19" s="103" t="n"/>
    </row>
    <row r="20">
      <c r="A20" s="101" t="inlineStr">
        <is>
          <t>22-28</t>
        </is>
      </c>
      <c r="B20" s="105" t="inlineStr">
        <is>
          <t>Toetreding tot volwassenheid</t>
        </is>
      </c>
      <c r="C20" s="10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2" t="n"/>
      <c r="B21" s="102" t="n"/>
      <c r="C21" s="102" t="n"/>
    </row>
    <row r="22" ht="64.5" customHeight="1">
      <c r="A22" s="103" t="n"/>
      <c r="B22" s="103" t="n"/>
      <c r="C22" s="103" t="n"/>
    </row>
    <row r="23">
      <c r="A23" s="101" t="inlineStr">
        <is>
          <t>29-33</t>
        </is>
      </c>
      <c r="B23" s="105" t="inlineStr">
        <is>
          <t>Overgang voor dertigers</t>
        </is>
      </c>
      <c r="C23" s="107" t="inlineStr">
        <is>
          <t xml:space="preserve">Ervaringen worden geëvalueerd en men gaat op zoek
naar een voldoening schenkende levensstijl.
</t>
        </is>
      </c>
    </row>
    <row r="24">
      <c r="A24" s="103" t="n"/>
      <c r="B24" s="103" t="n"/>
      <c r="C24" s="103" t="n"/>
    </row>
    <row r="25">
      <c r="A25" s="101" t="inlineStr">
        <is>
          <t>34-40</t>
        </is>
      </c>
      <c r="B25" s="105" t="inlineStr">
        <is>
          <t>Settelen</t>
        </is>
      </c>
      <c r="C25" s="35" t="inlineStr">
        <is>
          <t xml:space="preserve">De begeerde levensstijl wordt ten uitvoer gebracht. </t>
        </is>
      </c>
    </row>
    <row r="26">
      <c r="A26" s="101" t="inlineStr">
        <is>
          <t>41-45</t>
        </is>
      </c>
      <c r="B26" s="105" t="inlineStr">
        <is>
          <t>Overgang naar middelbare leeftijd</t>
        </is>
      </c>
      <c r="C26" s="10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2" t="n"/>
      <c r="B27" s="102" t="n"/>
      <c r="C27" s="102" t="n"/>
    </row>
    <row r="28">
      <c r="A28" s="102" t="n"/>
      <c r="B28" s="102" t="n"/>
      <c r="C28" s="102" t="n"/>
    </row>
    <row r="29">
      <c r="A29" s="102" t="n"/>
      <c r="B29" s="102" t="n"/>
      <c r="C29" s="102" t="n"/>
    </row>
    <row r="30">
      <c r="A30" s="102" t="n"/>
      <c r="B30" s="102" t="n"/>
      <c r="C30" s="102" t="n"/>
    </row>
    <row r="31">
      <c r="A31" s="102" t="n"/>
      <c r="B31" s="102" t="n"/>
      <c r="C31" s="102" t="n"/>
    </row>
    <row r="32">
      <c r="A32" s="102" t="n"/>
      <c r="B32" s="102" t="n"/>
      <c r="C32" s="102" t="n"/>
    </row>
    <row r="33">
      <c r="A33" s="102" t="n"/>
      <c r="B33" s="102" t="n"/>
      <c r="C33" s="102" t="n"/>
    </row>
    <row r="34">
      <c r="A34" s="102" t="n"/>
      <c r="B34" s="102" t="n"/>
      <c r="C34" s="102" t="n"/>
    </row>
    <row r="35">
      <c r="A35" s="102" t="n"/>
      <c r="B35" s="102" t="n"/>
      <c r="C35" s="102" t="n"/>
    </row>
    <row r="36">
      <c r="A36" s="102" t="n"/>
      <c r="B36" s="102" t="n"/>
      <c r="C36" s="102" t="n"/>
    </row>
    <row r="37">
      <c r="A37" s="102" t="n"/>
      <c r="B37" s="102" t="n"/>
      <c r="C37" s="102" t="n"/>
    </row>
    <row r="38">
      <c r="A38" s="102" t="n"/>
      <c r="B38" s="102" t="n"/>
      <c r="C38" s="102" t="n"/>
    </row>
    <row r="39">
      <c r="A39" s="103" t="n"/>
      <c r="B39" s="103" t="n"/>
      <c r="C39" s="103" t="n"/>
    </row>
    <row r="40">
      <c r="A40" s="101" t="inlineStr">
        <is>
          <t>46-50</t>
        </is>
      </c>
      <c r="B40" s="105" t="inlineStr">
        <is>
          <t>Toetreding tot middelbare volwassenheid</t>
        </is>
      </c>
      <c r="C40" s="106" t="inlineStr">
        <is>
          <t>Toepassen van en leren leven met gemaakte beslissingen.</t>
        </is>
      </c>
    </row>
    <row r="41">
      <c r="A41" s="101" t="inlineStr">
        <is>
          <t>51-55</t>
        </is>
      </c>
      <c r="B41" s="105" t="inlineStr">
        <is>
          <t>Overgang voor vijftigers</t>
        </is>
      </c>
      <c r="C41" s="102" t="n"/>
    </row>
    <row r="42">
      <c r="A42" s="101" t="inlineStr">
        <is>
          <t>56-60</t>
        </is>
      </c>
      <c r="B42" s="105" t="inlineStr">
        <is>
          <t>Hoogtepunt van middelbare volwassenheid</t>
        </is>
      </c>
      <c r="C42" s="102" t="n"/>
    </row>
    <row r="43">
      <c r="A43" s="101" t="inlineStr">
        <is>
          <t>61-65</t>
        </is>
      </c>
      <c r="B43" s="105" t="inlineStr">
        <is>
          <t>Overgang voor naar late volwassenheid</t>
        </is>
      </c>
      <c r="C43" s="103" t="n"/>
    </row>
    <row r="44">
      <c r="A44" s="101" t="inlineStr">
        <is>
          <t>66 en ouder</t>
        </is>
      </c>
      <c r="B44" s="105" t="inlineStr">
        <is>
          <t>Toetreding tot de late volwassenheid</t>
        </is>
      </c>
      <c r="C44" s="107" t="inlineStr">
        <is>
          <t xml:space="preserve">Deze fase wordt gekenmerkt door een steeds minder
wordende betrokkenheid bij het werk en de neiging 
om een observerende positie in te nemen.
</t>
        </is>
      </c>
    </row>
    <row r="45">
      <c r="A45" s="102" t="n"/>
      <c r="B45" s="102" t="n"/>
      <c r="C45" s="102" t="n"/>
    </row>
    <row r="46">
      <c r="A46" s="103" t="n"/>
      <c r="B46" s="103" t="n"/>
      <c r="C46" s="103" t="n"/>
    </row>
  </sheetData>
  <mergeCells count="30">
    <mergeCell ref="A12:A14"/>
    <mergeCell ref="A26:A39"/>
    <mergeCell ref="C12:C14"/>
    <mergeCell ref="B18:B19"/>
    <mergeCell ref="A20:A22"/>
    <mergeCell ref="A44:A46"/>
    <mergeCell ref="B23:B24"/>
    <mergeCell ref="B20:B22"/>
    <mergeCell ref="C3:C5"/>
    <mergeCell ref="B3:B5"/>
    <mergeCell ref="C6:C8"/>
    <mergeCell ref="A18:A19"/>
    <mergeCell ref="B26:B39"/>
    <mergeCell ref="A9:A11"/>
    <mergeCell ref="C40:C43"/>
    <mergeCell ref="C23:C24"/>
    <mergeCell ref="A16:C16"/>
    <mergeCell ref="B12:B14"/>
    <mergeCell ref="C20:C22"/>
    <mergeCell ref="A23:A24"/>
    <mergeCell ref="A6:A8"/>
    <mergeCell ref="C26:C39"/>
    <mergeCell ref="C44:C46"/>
    <mergeCell ref="A1:C1"/>
    <mergeCell ref="B44:B46"/>
    <mergeCell ref="A3:A5"/>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128" min="1" max="1"/>
    <col width="110.33203125" customWidth="1" style="128" min="2" max="2"/>
    <col width="20.6640625" customWidth="1" style="113" min="3" max="7"/>
    <col width="9.109375" customWidth="1" style="128" min="8" max="9"/>
    <col width="9.109375" customWidth="1" style="128" min="10" max="16384"/>
  </cols>
  <sheetData>
    <row r="1">
      <c r="A1" s="133" t="inlineStr">
        <is>
          <t>Fase 1.1 | Wie is de cliënt? | Identificatie van de Big Five Persoonlijkheidskarakteristieken</t>
        </is>
      </c>
      <c r="C1" s="112" t="inlineStr">
        <is>
          <t>Beoordeling van stelling (in zijn algemeenheid) a.h.v. onderstaande criteria:</t>
        </is>
      </c>
    </row>
    <row r="2">
      <c r="C2" s="112" t="inlineStr">
        <is>
          <t>1 = Oneens</t>
        </is>
      </c>
      <c r="D2" s="112" t="inlineStr">
        <is>
          <t>2 = Deels oneens</t>
        </is>
      </c>
      <c r="E2" s="112" t="inlineStr">
        <is>
          <t>3 = Neutraal</t>
        </is>
      </c>
      <c r="F2" s="112" t="inlineStr">
        <is>
          <t>4 = Deels eens</t>
        </is>
      </c>
      <c r="G2" s="112" t="inlineStr">
        <is>
          <t>5 = Volledig eens</t>
        </is>
      </c>
    </row>
    <row r="3">
      <c r="A3" s="108" t="inlineStr">
        <is>
          <t>Nummer</t>
        </is>
      </c>
      <c r="B3" s="58" t="inlineStr">
        <is>
          <t>Stelling</t>
        </is>
      </c>
      <c r="C3" s="108" t="inlineStr">
        <is>
          <t>Extraversie</t>
        </is>
      </c>
      <c r="D3" s="108" t="inlineStr">
        <is>
          <t>Altruïsme</t>
        </is>
      </c>
      <c r="E3" s="108" t="inlineStr">
        <is>
          <t>Conciëntieusheid</t>
        </is>
      </c>
      <c r="F3" s="108" t="inlineStr">
        <is>
          <t>Neuroticisme</t>
        </is>
      </c>
      <c r="G3" s="108" t="inlineStr">
        <is>
          <t>Openheid</t>
        </is>
      </c>
    </row>
    <row r="4">
      <c r="A4" s="125" t="n">
        <v>1</v>
      </c>
      <c r="B4" s="4" t="inlineStr">
        <is>
          <t xml:space="preserve">Ik ben het middelpunt van het feest. </t>
        </is>
      </c>
      <c r="C4" s="17" t="n">
        <v>1</v>
      </c>
      <c r="D4" s="18" t="n"/>
      <c r="E4" s="18" t="n"/>
      <c r="F4" s="18" t="n"/>
      <c r="G4" s="22" t="n"/>
    </row>
    <row r="5">
      <c r="A5" s="125" t="n">
        <v>2</v>
      </c>
      <c r="B5" s="4" t="inlineStr">
        <is>
          <t xml:space="preserve">Ik voel me weinig bezorgd om anderen. </t>
        </is>
      </c>
      <c r="C5" s="18" t="n"/>
      <c r="D5" s="19" t="n">
        <v>2</v>
      </c>
      <c r="E5" s="18" t="n"/>
      <c r="F5" s="18" t="n"/>
      <c r="G5" s="22" t="n"/>
    </row>
    <row r="6">
      <c r="A6" s="125" t="n">
        <v>3</v>
      </c>
      <c r="B6" s="4" t="inlineStr">
        <is>
          <t xml:space="preserve">Ik ben altijd voorbereid. </t>
        </is>
      </c>
      <c r="C6" s="18" t="n"/>
      <c r="D6" s="18" t="n"/>
      <c r="E6" s="20" t="n">
        <v>3</v>
      </c>
      <c r="F6" s="18" t="n"/>
      <c r="G6" s="22" t="n"/>
    </row>
    <row r="7">
      <c r="A7" s="125" t="n">
        <v>4</v>
      </c>
      <c r="B7" s="4" t="inlineStr">
        <is>
          <t xml:space="preserve">Ik raak niet snel gestrest. </t>
        </is>
      </c>
      <c r="C7" s="18" t="n"/>
      <c r="D7" s="18" t="n"/>
      <c r="E7" s="18" t="n"/>
      <c r="F7" s="21" t="n">
        <v>4</v>
      </c>
      <c r="G7" s="22" t="n"/>
    </row>
    <row r="8">
      <c r="A8" s="125" t="n">
        <v>5</v>
      </c>
      <c r="B8" s="4" t="inlineStr">
        <is>
          <t xml:space="preserve">Ik heb een rijk vocabulaire. </t>
        </is>
      </c>
      <c r="C8" s="18" t="n"/>
      <c r="D8" s="18" t="n"/>
      <c r="E8" s="18" t="n"/>
      <c r="F8" s="18" t="n"/>
      <c r="G8" s="23" t="n">
        <v>5</v>
      </c>
    </row>
    <row r="9">
      <c r="A9" s="125" t="n">
        <v>6</v>
      </c>
      <c r="B9" s="4" t="inlineStr">
        <is>
          <t xml:space="preserve">Ik praat niet veel. </t>
        </is>
      </c>
      <c r="C9" s="17" t="n">
        <v>4</v>
      </c>
      <c r="D9" s="18" t="n"/>
      <c r="E9" s="18" t="n"/>
      <c r="F9" s="18" t="n"/>
      <c r="G9" s="22" t="n"/>
    </row>
    <row r="10">
      <c r="A10" s="125" t="n">
        <v>7</v>
      </c>
      <c r="B10" s="4" t="inlineStr">
        <is>
          <t xml:space="preserve">Ik ben oprecht geïnteresseerd in anderen. </t>
        </is>
      </c>
      <c r="C10" s="18" t="n"/>
      <c r="D10" s="19" t="n">
        <v>4</v>
      </c>
      <c r="E10" s="18" t="n"/>
      <c r="F10" s="18" t="n"/>
      <c r="G10" s="22" t="n"/>
    </row>
    <row r="11">
      <c r="A11" s="125" t="n">
        <v>8</v>
      </c>
      <c r="B11" s="4" t="inlineStr">
        <is>
          <t xml:space="preserve">Ik vergeet met regelmaat mijn spullen. </t>
        </is>
      </c>
      <c r="C11" s="18" t="n"/>
      <c r="D11" s="18" t="n"/>
      <c r="E11" s="20" t="n">
        <v>4</v>
      </c>
      <c r="F11" s="18" t="n"/>
      <c r="G11" s="22" t="n"/>
    </row>
    <row r="12">
      <c r="A12" s="125" t="n">
        <v>9</v>
      </c>
      <c r="B12" s="4" t="inlineStr">
        <is>
          <t xml:space="preserve">Ik ben meestal ontspannen. </t>
        </is>
      </c>
      <c r="C12" s="18" t="n"/>
      <c r="D12" s="18" t="n"/>
      <c r="E12" s="18" t="n"/>
      <c r="F12" s="21" t="n">
        <v>4</v>
      </c>
      <c r="G12" s="22" t="n"/>
    </row>
    <row r="13">
      <c r="A13" s="125" t="n">
        <v>10</v>
      </c>
      <c r="B13" s="4" t="inlineStr">
        <is>
          <t xml:space="preserve">Ik heb moeite om abstracte ideeën te begrijpen. </t>
        </is>
      </c>
      <c r="C13" s="18" t="n"/>
      <c r="D13" s="18" t="n"/>
      <c r="E13" s="18" t="n"/>
      <c r="F13" s="18" t="n"/>
      <c r="G13" s="23" t="n">
        <v>4</v>
      </c>
    </row>
    <row r="14">
      <c r="A14" s="125" t="n">
        <v>11</v>
      </c>
      <c r="B14" s="4" t="inlineStr">
        <is>
          <t xml:space="preserve">Ik voel me comfortabel bij mensen. </t>
        </is>
      </c>
      <c r="C14" s="17" t="n">
        <v>4</v>
      </c>
      <c r="D14" s="18" t="n"/>
      <c r="E14" s="18" t="n"/>
      <c r="F14" s="18" t="n"/>
      <c r="G14" s="22" t="n"/>
    </row>
    <row r="15">
      <c r="A15" s="125" t="n">
        <v>12</v>
      </c>
      <c r="B15" s="4" t="inlineStr">
        <is>
          <t>Ik beledig mensen.</t>
        </is>
      </c>
      <c r="C15" s="18" t="n"/>
      <c r="D15" s="19" t="n">
        <v>4</v>
      </c>
      <c r="E15" s="18" t="n"/>
      <c r="F15" s="18" t="n"/>
      <c r="G15" s="22" t="n"/>
    </row>
    <row r="16">
      <c r="A16" s="125" t="n">
        <v>13</v>
      </c>
      <c r="B16" s="4" t="inlineStr">
        <is>
          <t xml:space="preserve">Ik besteed aandacht aan details. </t>
        </is>
      </c>
      <c r="C16" s="18" t="n"/>
      <c r="D16" s="18" t="n"/>
      <c r="E16" s="20" t="n">
        <v>4</v>
      </c>
      <c r="F16" s="18" t="n"/>
      <c r="G16" s="22" t="n"/>
    </row>
    <row r="17">
      <c r="A17" s="125" t="n">
        <v>14</v>
      </c>
      <c r="B17" s="4" t="inlineStr">
        <is>
          <t xml:space="preserve">Ik maak me niet vaak zorgen. </t>
        </is>
      </c>
      <c r="C17" s="18" t="n"/>
      <c r="D17" s="18" t="n"/>
      <c r="E17" s="18" t="n"/>
      <c r="F17" s="21" t="n">
        <v>4</v>
      </c>
      <c r="G17" s="22" t="n"/>
    </row>
    <row r="18">
      <c r="A18" s="125" t="n">
        <v>15</v>
      </c>
      <c r="B18" s="4" t="inlineStr">
        <is>
          <t xml:space="preserve">Ik heb een levendige verbeelding. </t>
        </is>
      </c>
      <c r="C18" s="18" t="n"/>
      <c r="D18" s="18" t="n"/>
      <c r="E18" s="18" t="n"/>
      <c r="F18" s="18" t="n"/>
      <c r="G18" s="23" t="n">
        <v>3</v>
      </c>
    </row>
    <row r="19">
      <c r="A19" s="125" t="n">
        <v>16</v>
      </c>
      <c r="B19" s="4" t="inlineStr">
        <is>
          <t xml:space="preserve">Ik blijf liever op de achtergrond. </t>
        </is>
      </c>
      <c r="C19" s="17" t="n">
        <v>2</v>
      </c>
      <c r="D19" s="18" t="n"/>
      <c r="E19" s="18" t="n"/>
      <c r="F19" s="18" t="n"/>
      <c r="G19" s="22" t="n"/>
    </row>
    <row r="20">
      <c r="A20" s="125" t="n">
        <v>17</v>
      </c>
      <c r="B20" s="4" t="inlineStr">
        <is>
          <t xml:space="preserve">Ik sympathiseer met de gevoelens van anderen. </t>
        </is>
      </c>
      <c r="C20" s="18" t="n"/>
      <c r="D20" s="19" t="n">
        <v>2</v>
      </c>
      <c r="E20" s="18" t="n"/>
      <c r="F20" s="18" t="n"/>
      <c r="G20" s="22" t="n"/>
    </row>
    <row r="21">
      <c r="A21" s="125" t="n">
        <v>18</v>
      </c>
      <c r="B21" s="4" t="inlineStr">
        <is>
          <t xml:space="preserve">Ik maak al snel een chaos van een situatie. </t>
        </is>
      </c>
      <c r="C21" s="18" t="n"/>
      <c r="D21" s="18" t="n"/>
      <c r="E21" s="20" t="n">
        <v>3</v>
      </c>
      <c r="F21" s="18" t="n"/>
      <c r="G21" s="22" t="n"/>
    </row>
    <row r="22">
      <c r="A22" s="125" t="n">
        <v>19</v>
      </c>
      <c r="B22" s="4" t="inlineStr">
        <is>
          <t xml:space="preserve">Ik voel me vaak droevig. </t>
        </is>
      </c>
      <c r="C22" s="18" t="n"/>
      <c r="D22" s="18" t="n"/>
      <c r="E22" s="18" t="n"/>
      <c r="F22" s="21" t="n">
        <v>4</v>
      </c>
      <c r="G22" s="22" t="n"/>
    </row>
    <row r="23">
      <c r="A23" s="125" t="n">
        <v>20</v>
      </c>
      <c r="B23" s="4" t="inlineStr">
        <is>
          <t xml:space="preserve">Ik ben niet geïnteresseerd in abstracte ideeën. </t>
        </is>
      </c>
      <c r="C23" s="18" t="n"/>
      <c r="D23" s="18" t="n"/>
      <c r="E23" s="18" t="n"/>
      <c r="F23" s="18" t="n"/>
      <c r="G23" s="23" t="n">
        <v>5</v>
      </c>
    </row>
    <row r="24">
      <c r="A24" s="125" t="n">
        <v>21</v>
      </c>
      <c r="B24" s="4" t="inlineStr">
        <is>
          <t xml:space="preserve">Ik begin gesprekken. </t>
        </is>
      </c>
      <c r="C24" s="17" t="n">
        <v>3</v>
      </c>
      <c r="D24" s="18" t="n"/>
      <c r="E24" s="18" t="n"/>
      <c r="F24" s="18" t="n"/>
      <c r="G24" s="22" t="n"/>
    </row>
    <row r="25">
      <c r="A25" s="125" t="n">
        <v>22</v>
      </c>
      <c r="B25" s="4" t="inlineStr">
        <is>
          <t xml:space="preserve">Ik ben niet geïnteresseerd in de problemen van anderen. </t>
        </is>
      </c>
      <c r="C25" s="18" t="n"/>
      <c r="D25" s="19" t="n">
        <v>4</v>
      </c>
      <c r="E25" s="18" t="n"/>
      <c r="F25" s="18" t="n"/>
      <c r="G25" s="22" t="n"/>
    </row>
    <row r="26">
      <c r="A26" s="125" t="n">
        <v>23</v>
      </c>
      <c r="B26" s="4" t="inlineStr">
        <is>
          <t xml:space="preserve">Ik krijg een klus meteen gedaan. </t>
        </is>
      </c>
      <c r="C26" s="18" t="n"/>
      <c r="D26" s="18" t="n"/>
      <c r="E26" s="20" t="n">
        <v>5</v>
      </c>
      <c r="F26" s="18" t="n"/>
      <c r="G26" s="22" t="n"/>
    </row>
    <row r="27">
      <c r="A27" s="125" t="n">
        <v>24</v>
      </c>
      <c r="B27" s="4" t="inlineStr">
        <is>
          <t xml:space="preserve">Ik raak niet snel afgeleid. </t>
        </is>
      </c>
      <c r="C27" s="18" t="n"/>
      <c r="D27" s="18" t="n"/>
      <c r="E27" s="18" t="n"/>
      <c r="F27" s="21" t="n">
        <v>3</v>
      </c>
      <c r="G27" s="22" t="n"/>
    </row>
    <row r="28">
      <c r="A28" s="125" t="n">
        <v>25</v>
      </c>
      <c r="B28" s="5" t="inlineStr">
        <is>
          <t xml:space="preserve">Ik heb uitstekende ideeën. </t>
        </is>
      </c>
      <c r="C28" s="18" t="n"/>
      <c r="D28" s="18" t="n"/>
      <c r="E28" s="18" t="n"/>
      <c r="F28" s="18" t="n"/>
      <c r="G28" s="23" t="n">
        <v>1</v>
      </c>
    </row>
    <row r="29">
      <c r="A29" s="125" t="n">
        <v>26</v>
      </c>
      <c r="B29" s="1" t="inlineStr">
        <is>
          <t>Ik heb over het algemeen weinig te zeggen.</t>
        </is>
      </c>
      <c r="C29" s="17" t="n">
        <v>3</v>
      </c>
      <c r="D29" s="18" t="n"/>
      <c r="E29" s="18" t="n"/>
      <c r="F29" s="18" t="n"/>
      <c r="G29" s="22" t="n"/>
    </row>
    <row r="30">
      <c r="A30" s="125" t="n">
        <v>27</v>
      </c>
      <c r="B30" s="1" t="inlineStr">
        <is>
          <t>Ik heb een zacht hart.</t>
        </is>
      </c>
      <c r="C30" s="18" t="n"/>
      <c r="D30" s="19" t="n">
        <v>4</v>
      </c>
      <c r="E30" s="18" t="n"/>
      <c r="F30" s="18" t="n"/>
      <c r="G30" s="22" t="n"/>
    </row>
    <row r="31">
      <c r="A31" s="125" t="n">
        <v>28</v>
      </c>
      <c r="B31" s="1" t="inlineStr">
        <is>
          <t>Ik vergeet vaak om objecten op de juiste plaats terug te zetten.</t>
        </is>
      </c>
      <c r="C31" s="18" t="n"/>
      <c r="D31" s="18" t="n"/>
      <c r="E31" s="20" t="n">
        <v>5</v>
      </c>
      <c r="F31" s="18" t="n"/>
      <c r="G31" s="22" t="n"/>
    </row>
    <row r="32">
      <c r="A32" s="125" t="n">
        <v>29</v>
      </c>
      <c r="B32" s="1" t="inlineStr">
        <is>
          <t>Ik raak niet gemakkelijk overstuur.</t>
        </is>
      </c>
      <c r="C32" s="18" t="n"/>
      <c r="D32" s="18" t="n"/>
      <c r="E32" s="18" t="n"/>
      <c r="F32" s="21" t="n">
        <v>3</v>
      </c>
      <c r="G32" s="22" t="n"/>
    </row>
    <row r="33">
      <c r="A33" s="125" t="n">
        <v>30</v>
      </c>
      <c r="B33" s="1" t="inlineStr">
        <is>
          <t>Ik heb geen goede verbeelding.</t>
        </is>
      </c>
      <c r="C33" s="18" t="n"/>
      <c r="D33" s="18" t="n"/>
      <c r="E33" s="18" t="n"/>
      <c r="F33" s="18" t="n"/>
      <c r="G33" s="23" t="n">
        <v>2</v>
      </c>
    </row>
    <row r="34">
      <c r="A34" s="125" t="n">
        <v>31</v>
      </c>
      <c r="B34" s="1" t="inlineStr">
        <is>
          <t>Ik praat met veel verschillende mensen op een feest.</t>
        </is>
      </c>
      <c r="C34" s="17" t="n">
        <v>3</v>
      </c>
      <c r="D34" s="18" t="n"/>
      <c r="E34" s="18" t="n"/>
      <c r="F34" s="18" t="n"/>
      <c r="G34" s="22" t="n"/>
    </row>
    <row r="35">
      <c r="A35" s="125" t="n">
        <v>32</v>
      </c>
      <c r="B35" s="1" t="inlineStr">
        <is>
          <t>Ik ben niet echt geïnteresseerd in anderen.</t>
        </is>
      </c>
      <c r="C35" s="18" t="n"/>
      <c r="D35" s="19" t="n">
        <v>4</v>
      </c>
      <c r="E35" s="18" t="n"/>
      <c r="F35" s="18" t="n"/>
      <c r="G35" s="22" t="n"/>
    </row>
    <row r="36">
      <c r="A36" s="125" t="n">
        <v>33</v>
      </c>
      <c r="B36" s="1" t="inlineStr">
        <is>
          <t>Ik ben gesteld op orde.</t>
        </is>
      </c>
      <c r="C36" s="18" t="n"/>
      <c r="D36" s="18" t="n"/>
      <c r="E36" s="20" t="n">
        <v>4</v>
      </c>
      <c r="F36" s="18" t="n"/>
      <c r="G36" s="22" t="n"/>
    </row>
    <row r="37">
      <c r="A37" s="125" t="n">
        <v>34</v>
      </c>
      <c r="B37" s="1" t="inlineStr">
        <is>
          <t>Mijn humeur veranderd niet vaak.</t>
        </is>
      </c>
      <c r="C37" s="18" t="n"/>
      <c r="D37" s="18" t="n"/>
      <c r="E37" s="18" t="n"/>
      <c r="F37" s="21" t="n">
        <v>4</v>
      </c>
      <c r="G37" s="22" t="n"/>
    </row>
    <row r="38">
      <c r="A38" s="125" t="n">
        <v>35</v>
      </c>
      <c r="B38" s="1" t="inlineStr">
        <is>
          <t xml:space="preserve">Ik begrijp zaken snel. </t>
        </is>
      </c>
      <c r="C38" s="18" t="n"/>
      <c r="D38" s="18" t="n"/>
      <c r="E38" s="18" t="n"/>
      <c r="F38" s="18" t="n"/>
      <c r="G38" s="23" t="n">
        <v>4</v>
      </c>
    </row>
    <row r="39">
      <c r="A39" s="125" t="n">
        <v>36</v>
      </c>
      <c r="B39" s="1" t="inlineStr">
        <is>
          <t>Ik houd er niet van de aandacht op mezelf te vestigen.</t>
        </is>
      </c>
      <c r="C39" s="17" t="n">
        <v>4</v>
      </c>
      <c r="D39" s="18" t="n"/>
      <c r="E39" s="18" t="n"/>
      <c r="F39" s="18" t="n"/>
      <c r="G39" s="22" t="n"/>
    </row>
    <row r="40">
      <c r="A40" s="125" t="n">
        <v>37</v>
      </c>
      <c r="B40" s="1" t="inlineStr">
        <is>
          <t>Ik neem de tijd voor anderen.</t>
        </is>
      </c>
      <c r="C40" s="18" t="n"/>
      <c r="D40" s="19" t="n">
        <v>4</v>
      </c>
      <c r="E40" s="18" t="n"/>
      <c r="F40" s="18" t="n"/>
      <c r="G40" s="22" t="n"/>
    </row>
    <row r="41">
      <c r="A41" s="125" t="n">
        <v>38</v>
      </c>
      <c r="B41" s="1" t="inlineStr">
        <is>
          <t>Ik onttrek me van mijn plichten.</t>
        </is>
      </c>
      <c r="C41" s="18" t="n"/>
      <c r="D41" s="18" t="n"/>
      <c r="E41" s="20" t="n">
        <v>4</v>
      </c>
      <c r="F41" s="18" t="n"/>
      <c r="G41" s="22" t="n"/>
    </row>
    <row r="42">
      <c r="A42" s="125" t="n">
        <v>39</v>
      </c>
      <c r="B42" s="1" t="inlineStr">
        <is>
          <t>Ik ervaar vrijwel geen stemmingswisselingen.</t>
        </is>
      </c>
      <c r="C42" s="18" t="n"/>
      <c r="D42" s="18" t="n"/>
      <c r="E42" s="18" t="n"/>
      <c r="F42" s="21" t="n">
        <v>4</v>
      </c>
      <c r="G42" s="22" t="n"/>
    </row>
    <row r="43">
      <c r="A43" s="125" t="n">
        <v>40</v>
      </c>
      <c r="B43" s="1" t="inlineStr">
        <is>
          <t>Ik gebruik moeilijke woorden.</t>
        </is>
      </c>
      <c r="C43" s="18" t="n"/>
      <c r="D43" s="18" t="n"/>
      <c r="E43" s="18" t="n"/>
      <c r="F43" s="18" t="n"/>
      <c r="G43" s="23" t="n">
        <v>4</v>
      </c>
    </row>
    <row r="44">
      <c r="A44" s="125" t="n">
        <v>41</v>
      </c>
      <c r="B44" s="1" t="inlineStr">
        <is>
          <t>Ik heb er geen probleem mee om het centrum van aandacht te zijn.</t>
        </is>
      </c>
      <c r="C44" s="17" t="n">
        <v>4</v>
      </c>
      <c r="D44" s="18" t="n"/>
      <c r="E44" s="18" t="n"/>
      <c r="F44" s="18" t="n"/>
      <c r="G44" s="22" t="n"/>
    </row>
    <row r="45">
      <c r="A45" s="125" t="n">
        <v>42</v>
      </c>
      <c r="B45" s="1" t="inlineStr">
        <is>
          <t>Ik voel de emoties van anderen.</t>
        </is>
      </c>
      <c r="C45" s="18" t="n"/>
      <c r="D45" s="19" t="n">
        <v>4</v>
      </c>
      <c r="E45" s="18" t="n"/>
      <c r="F45" s="18" t="n"/>
      <c r="G45" s="22" t="n"/>
    </row>
    <row r="46">
      <c r="A46" s="125" t="n">
        <v>43</v>
      </c>
      <c r="B46" s="1" t="inlineStr">
        <is>
          <t>Ik volg graag schema's.</t>
        </is>
      </c>
      <c r="C46" s="18" t="n"/>
      <c r="D46" s="18" t="n"/>
      <c r="E46" s="20" t="n">
        <v>4</v>
      </c>
      <c r="F46" s="18" t="n"/>
      <c r="G46" s="22" t="n"/>
    </row>
    <row r="47">
      <c r="A47" s="125" t="n">
        <v>44</v>
      </c>
      <c r="B47" s="1" t="inlineStr">
        <is>
          <t>Ik raak niet snel geïrriteerd.</t>
        </is>
      </c>
      <c r="C47" s="18" t="n"/>
      <c r="D47" s="18" t="n"/>
      <c r="E47" s="18" t="n"/>
      <c r="F47" s="21" t="n">
        <v>4</v>
      </c>
      <c r="G47" s="22" t="n"/>
    </row>
    <row r="48">
      <c r="A48" s="125" t="n">
        <v>45</v>
      </c>
      <c r="B48" s="1" t="inlineStr">
        <is>
          <t>Ik besteed tijd aan het reflecteren op zaken.</t>
        </is>
      </c>
      <c r="C48" s="18" t="n"/>
      <c r="D48" s="18" t="n"/>
      <c r="E48" s="18" t="n"/>
      <c r="F48" s="18" t="n"/>
      <c r="G48" s="23" t="n">
        <v>4</v>
      </c>
    </row>
    <row r="49">
      <c r="A49" s="125" t="n">
        <v>46</v>
      </c>
      <c r="B49" s="1" t="inlineStr">
        <is>
          <t>Ik ben stil rondom vreemden.</t>
        </is>
      </c>
      <c r="C49" s="17" t="n">
        <v>4</v>
      </c>
      <c r="D49" s="18" t="n"/>
      <c r="E49" s="18" t="n"/>
      <c r="F49" s="18" t="n"/>
      <c r="G49" s="22" t="n"/>
    </row>
    <row r="50">
      <c r="A50" s="125" t="n">
        <v>47</v>
      </c>
      <c r="B50" s="1" t="inlineStr">
        <is>
          <t>Ik laat mensen zich op hun gemak voelen.</t>
        </is>
      </c>
      <c r="C50" s="18" t="n"/>
      <c r="D50" s="19" t="n">
        <v>4</v>
      </c>
      <c r="E50" s="18" t="n"/>
      <c r="F50" s="18" t="n"/>
      <c r="G50" s="22" t="n"/>
    </row>
    <row r="51">
      <c r="A51" s="125" t="n">
        <v>48</v>
      </c>
      <c r="B51" s="1" t="inlineStr">
        <is>
          <t>Ik stel hoge eisen aan de kwaliteit van mijn werk.</t>
        </is>
      </c>
      <c r="C51" s="18" t="n"/>
      <c r="D51" s="18" t="n"/>
      <c r="E51" s="20" t="n">
        <v>4</v>
      </c>
      <c r="F51" s="18" t="n"/>
      <c r="G51" s="22" t="n"/>
    </row>
    <row r="52">
      <c r="A52" s="125" t="n">
        <v>49</v>
      </c>
      <c r="B52" s="1" t="inlineStr">
        <is>
          <t>Ik voel me zelden droevig.</t>
        </is>
      </c>
      <c r="C52" s="18" t="n"/>
      <c r="D52" s="18" t="n"/>
      <c r="E52" s="18" t="n"/>
      <c r="F52" s="21" t="n">
        <v>4</v>
      </c>
      <c r="G52" s="22" t="n"/>
    </row>
    <row r="53">
      <c r="A53" s="51" t="n">
        <v>50</v>
      </c>
      <c r="B53" s="2" t="inlineStr">
        <is>
          <t>Ik zit vol met ideeën.</t>
        </is>
      </c>
      <c r="C53" s="18" t="n"/>
      <c r="D53" s="18" t="n"/>
      <c r="E53" s="18" t="n"/>
      <c r="F53" s="18" t="n"/>
      <c r="G53" s="23" t="n">
        <v>4</v>
      </c>
    </row>
    <row r="54" ht="14.4" customHeight="1">
      <c r="A54" s="108" t="inlineStr">
        <is>
          <t>Score</t>
        </is>
      </c>
      <c r="B54" s="110" t="n"/>
      <c r="C54" s="82">
        <f>(20+C4-C9+C14-C19+C24-C29+C34-C39+C44-C49)</f>
        <v/>
      </c>
      <c r="D54" s="125">
        <f>(14-D5+D10-D15+D20-D25+D30-D35+D40+D45+D50)</f>
        <v/>
      </c>
      <c r="E54" s="125">
        <f>(14+E6-E11+E16-E21+E26-E31+E36-E41+E46+E51)</f>
        <v/>
      </c>
      <c r="F54" s="125">
        <f>(38-F7+F12-F17+F22-F27-F32-F37-F42-F47-F52)</f>
        <v/>
      </c>
      <c r="G54" s="125">
        <f>(8+G8-G13+G18-G23+G28-G33+G38+G43+G48+G53)</f>
        <v/>
      </c>
    </row>
    <row r="56" ht="14.4" customHeight="1">
      <c r="A56" s="108" t="inlineStr">
        <is>
          <t>Score</t>
        </is>
      </c>
      <c r="B56" s="108" t="inlineStr">
        <is>
          <t>Omschrijving</t>
        </is>
      </c>
      <c r="C56" s="122" t="inlineStr">
        <is>
          <t>Formule</t>
        </is>
      </c>
      <c r="D56" s="115" t="n"/>
      <c r="E56" s="115" t="n"/>
      <c r="F56" s="115" t="n"/>
      <c r="G56" s="116" t="n"/>
    </row>
    <row r="57" ht="14.4" customHeight="1">
      <c r="A57" s="52" t="inlineStr">
        <is>
          <t>1-8</t>
        </is>
      </c>
      <c r="B57" s="3" t="inlineStr">
        <is>
          <t>Zwak</t>
        </is>
      </c>
      <c r="C57" s="111" t="inlineStr">
        <is>
          <t>E = 20 + (1) ___ - (6) ___ + (11) ___ - (16) ___ + (21) ___ - (26) ___ + (31) ___ - (36) ___ + (41) ___ - (46) ___ = _____</t>
        </is>
      </c>
      <c r="D57" s="109" t="n"/>
      <c r="E57" s="109" t="n"/>
      <c r="F57" s="109" t="n"/>
      <c r="G57" s="110" t="n"/>
    </row>
    <row r="58" ht="14.4" customHeight="1">
      <c r="A58" s="52" t="inlineStr">
        <is>
          <t>9-17</t>
        </is>
      </c>
      <c r="B58" s="3" t="inlineStr">
        <is>
          <t>Matig</t>
        </is>
      </c>
      <c r="C58" s="111" t="inlineStr">
        <is>
          <t>A = 14 - (2) ___ + (7) ___ - (12) ___ + (17) ___ - (22) ___ + (27) ___ - (32) ___ + (37) ___ + (42) ___ + (47) ___ = _____</t>
        </is>
      </c>
      <c r="D58" s="109" t="n"/>
      <c r="E58" s="109" t="n"/>
      <c r="F58" s="109" t="n"/>
      <c r="G58" s="110" t="n"/>
    </row>
    <row r="59" ht="14.4" customHeight="1">
      <c r="A59" s="52" t="inlineStr">
        <is>
          <t>18-26</t>
        </is>
      </c>
      <c r="B59" s="3" t="inlineStr">
        <is>
          <t>Neutraal</t>
        </is>
      </c>
      <c r="C59" s="111" t="inlineStr">
        <is>
          <t>C = 14 + (3) ___ - (8) ___ + (13) ___ - (18) ___ + (23) ___ - (28) ___ + (33) ___ - (38) ___ + (43) ___ + (48) ___ = _____</t>
        </is>
      </c>
      <c r="D59" s="109" t="n"/>
      <c r="E59" s="109" t="n"/>
      <c r="F59" s="109" t="n"/>
      <c r="G59" s="110" t="n"/>
    </row>
    <row r="60" ht="14.4" customHeight="1">
      <c r="A60" s="52" t="inlineStr">
        <is>
          <t>27-35</t>
        </is>
      </c>
      <c r="B60" s="3" t="inlineStr">
        <is>
          <t>Sterk</t>
        </is>
      </c>
      <c r="C60" s="111" t="inlineStr">
        <is>
          <t>N = 38 - (4) ___ + (9) ___ - (14) ___ + (19) ___ - (24) ___ - (29) ___ - (34) ___ - (39) ___ - (44) ___ - (49) ___ = _____</t>
        </is>
      </c>
      <c r="D60" s="109" t="n"/>
      <c r="E60" s="109" t="n"/>
      <c r="F60" s="109" t="n"/>
      <c r="G60" s="110" t="n"/>
    </row>
    <row r="61" ht="14.4" customHeight="1">
      <c r="A61" s="52" t="inlineStr">
        <is>
          <t>35-40</t>
        </is>
      </c>
      <c r="B61" s="3" t="inlineStr">
        <is>
          <t>Zeer sterk</t>
        </is>
      </c>
      <c r="C61" s="111" t="inlineStr">
        <is>
          <t>O = 8 + (5) ___ - (10) ___ + (15) ___ - (20) ___ + (25) ___ - (30) ___ + (35) ___ + (40) ___ + (45) ___ + (50) ___ = _____</t>
        </is>
      </c>
      <c r="D61" s="109" t="n"/>
      <c r="E61" s="109" t="n"/>
      <c r="F61" s="109" t="n"/>
      <c r="G61" s="110" t="n"/>
    </row>
    <row r="63" ht="14.4" customFormat="1" customHeight="1" s="118">
      <c r="A63" s="59" t="inlineStr">
        <is>
          <t>Typering</t>
        </is>
      </c>
      <c r="B63" s="79" t="inlineStr">
        <is>
          <t>Omschrijving</t>
        </is>
      </c>
      <c r="C63" s="108" t="inlineStr">
        <is>
          <t>Big Five Model</t>
        </is>
      </c>
      <c r="D63" s="109" t="n"/>
      <c r="E63" s="109" t="n"/>
      <c r="F63" s="109" t="n"/>
      <c r="G63" s="110" t="n"/>
    </row>
    <row r="64" ht="294" customFormat="1" customHeight="1" s="118">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4" t="n"/>
      <c r="D64" s="115" t="n"/>
      <c r="E64" s="115" t="n"/>
      <c r="F64" s="115" t="n"/>
      <c r="G64" s="116" t="n"/>
    </row>
    <row r="65" ht="279.75" customFormat="1" customHeight="1" s="118">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7" t="n"/>
      <c r="G65" s="100" t="n"/>
    </row>
    <row r="66" ht="317.4" customFormat="1" customHeight="1" s="118">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7" t="n"/>
      <c r="G66" s="100" t="n"/>
    </row>
    <row r="67" ht="291.75" customFormat="1" customHeight="1" s="118">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7" t="n"/>
      <c r="G67" s="100" t="n"/>
    </row>
    <row r="68" ht="372.6" customFormat="1" customHeight="1" s="118">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9" t="n"/>
      <c r="D68" s="120" t="n"/>
      <c r="E68" s="120" t="n"/>
      <c r="F68" s="120" t="n"/>
      <c r="G68" s="121" t="n"/>
    </row>
    <row r="69" ht="14.4" customHeight="1">
      <c r="C69" s="9" t="n"/>
    </row>
    <row r="70" ht="14.4" customHeight="1">
      <c r="C70" s="8" t="n"/>
    </row>
    <row r="71" ht="14.4" customHeight="1">
      <c r="C71" s="8" t="n"/>
    </row>
    <row r="72" ht="14.4" customHeight="1">
      <c r="C72" s="9" t="n"/>
    </row>
    <row r="73" ht="14.4" customHeight="1">
      <c r="C73" s="8" t="n"/>
    </row>
    <row r="74" ht="14.4" customHeight="1">
      <c r="C74" s="8" t="n"/>
    </row>
  </sheetData>
  <mergeCells count="10">
    <mergeCell ref="C59:G59"/>
    <mergeCell ref="A54:B54"/>
    <mergeCell ref="C60:G60"/>
    <mergeCell ref="C58:G58"/>
    <mergeCell ref="C1:G1"/>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95" customFormat="1" customHeight="1" s="128">
      <c r="A1" s="133" t="inlineStr">
        <is>
          <t>Fase 2.0 | Wat wil de cliënt? | Identificatie van de loopbaanwaarden</t>
        </is>
      </c>
      <c r="B1" s="133" t="n"/>
      <c r="C1" s="112" t="inlineStr">
        <is>
          <t>Beoordeling van stelling a.h.v. onderstaande criteria:</t>
        </is>
      </c>
    </row>
    <row r="2" ht="13.95" customFormat="1" customHeight="1" s="128">
      <c r="A2" s="133" t="n"/>
      <c r="C2" s="127" t="inlineStr">
        <is>
          <t xml:space="preserve">Met welke stelling kan cliënt zich het sterkst identificeren? </t>
        </is>
      </c>
      <c r="D2" s="120" t="n"/>
      <c r="E2" s="120" t="n"/>
      <c r="F2" s="120" t="n"/>
      <c r="G2" s="120" t="n"/>
    </row>
    <row r="3" ht="13.95" customFormat="1" customHeight="1" s="128">
      <c r="A3" s="108" t="inlineStr">
        <is>
          <t>Nummer</t>
        </is>
      </c>
      <c r="B3" s="122" t="inlineStr">
        <is>
          <t>Stelling</t>
        </is>
      </c>
      <c r="C3" s="108" t="inlineStr">
        <is>
          <t>Omhoog | V</t>
        </is>
      </c>
      <c r="D3" s="108" t="inlineStr">
        <is>
          <t>Veilig | W</t>
        </is>
      </c>
      <c r="E3" s="108" t="inlineStr">
        <is>
          <t>Vrij | X</t>
        </is>
      </c>
      <c r="F3" s="108" t="inlineStr">
        <is>
          <t>Balans | Y</t>
        </is>
      </c>
      <c r="G3" s="108" t="inlineStr">
        <is>
          <t>Uitdaging | Z</t>
        </is>
      </c>
    </row>
    <row r="4" ht="13.95" customFormat="1" customHeight="1" s="128">
      <c r="A4" s="101" t="n">
        <v>1</v>
      </c>
      <c r="B4" s="104" t="inlineStr">
        <is>
          <t xml:space="preserve">V: Graag wil ik het voor mezelf en voor anderen dusdanig regelen dat 
succes verzekerd is.
</t>
        </is>
      </c>
      <c r="C4" s="123" t="n">
        <v>1</v>
      </c>
      <c r="D4" s="123" t="n"/>
      <c r="E4" s="123" t="n"/>
      <c r="F4" s="123" t="n"/>
      <c r="G4" s="123" t="n"/>
    </row>
    <row r="5" ht="13.95" customFormat="1" customHeight="1" s="128">
      <c r="A5" s="102" t="n"/>
      <c r="B5" s="103" t="n"/>
      <c r="C5" s="102" t="n"/>
      <c r="D5" s="102" t="n"/>
      <c r="E5" s="102" t="n"/>
      <c r="F5" s="102" t="n"/>
      <c r="G5" s="102" t="n"/>
    </row>
    <row r="6" ht="13.95" customFormat="1" customHeight="1" s="128">
      <c r="A6" s="103" t="n"/>
      <c r="B6" s="36" t="inlineStr">
        <is>
          <t>X: Ik houd me binnen een werksituatie het liefst bezig met mijn eigen zaken.</t>
        </is>
      </c>
      <c r="C6" s="103" t="n"/>
      <c r="D6" s="103" t="n"/>
      <c r="E6" s="103" t="n"/>
      <c r="F6" s="103" t="n"/>
      <c r="G6" s="103" t="n"/>
    </row>
    <row r="7" ht="13.95" customFormat="1" customHeight="1" s="128">
      <c r="A7" s="101" t="n">
        <v>2</v>
      </c>
      <c r="B7" s="104" t="inlineStr">
        <is>
          <t xml:space="preserve">Y: Binnen het werk moet er tijd zijn voor zaken die jezelf belangrijk
vindt en moet er gelegenheid zijn om zinvolle relaties te cultiveren.
</t>
        </is>
      </c>
      <c r="C7" s="123" t="n"/>
      <c r="D7" s="123" t="n">
        <v>1</v>
      </c>
      <c r="E7" s="123" t="n"/>
      <c r="F7" s="123" t="n"/>
      <c r="G7" s="123" t="n"/>
    </row>
    <row r="8" ht="13.95" customFormat="1" customHeight="1" s="128">
      <c r="A8" s="102" t="n"/>
      <c r="B8" s="103" t="n"/>
      <c r="C8" s="102" t="n"/>
      <c r="D8" s="102" t="n"/>
      <c r="E8" s="102" t="n"/>
      <c r="F8" s="102" t="n"/>
      <c r="G8" s="102" t="n"/>
    </row>
    <row r="9" ht="13.95" customFormat="1" customHeight="1" s="128">
      <c r="A9" s="103" t="n"/>
      <c r="B9" s="36" t="inlineStr">
        <is>
          <t>V: Vooruitkomen is voor mij belangrijker dan persoonlijke behoeften.</t>
        </is>
      </c>
      <c r="C9" s="103" t="n"/>
      <c r="D9" s="103" t="n"/>
      <c r="E9" s="103" t="n"/>
      <c r="F9" s="103" t="n"/>
      <c r="G9" s="103" t="n"/>
    </row>
    <row r="10" ht="13.95" customFormat="1" customHeight="1" s="128">
      <c r="A10" s="101" t="n">
        <v>3</v>
      </c>
      <c r="B10" s="104" t="inlineStr">
        <is>
          <t xml:space="preserve">W: Ik werk graag in een omgeving waar hard werken, loyaliteit en
toewijding gewaardeerd wordt.
</t>
        </is>
      </c>
      <c r="C10" s="123" t="n"/>
      <c r="D10" s="123" t="n"/>
      <c r="E10" s="123" t="n">
        <v>1</v>
      </c>
      <c r="F10" s="123" t="n"/>
      <c r="G10" s="123" t="n"/>
    </row>
    <row r="11" ht="13.95" customFormat="1" customHeight="1" s="128">
      <c r="A11" s="102" t="n"/>
      <c r="B11" s="103" t="n"/>
      <c r="C11" s="102" t="n"/>
      <c r="D11" s="102" t="n"/>
      <c r="E11" s="102" t="n"/>
      <c r="F11" s="102" t="n"/>
      <c r="G11" s="102" t="n"/>
    </row>
    <row r="12" ht="13.95" customFormat="1" customHeight="1" s="128">
      <c r="A12" s="102" t="n"/>
      <c r="B12" s="104" t="inlineStr">
        <is>
          <t xml:space="preserve">X: Ik houd van een werksituatie waar ik mijn eigen doelen kan
bepalen, ze kan bereiken op mijn eigen manier en op mijn
eigen tempo.
</t>
        </is>
      </c>
      <c r="C12" s="102" t="n"/>
      <c r="D12" s="102" t="n"/>
      <c r="E12" s="102" t="n"/>
      <c r="F12" s="102" t="n"/>
      <c r="G12" s="102" t="n"/>
    </row>
    <row r="13" ht="13.95" customFormat="1" customHeight="1" s="128">
      <c r="A13" s="102" t="n"/>
      <c r="B13" s="102" t="n"/>
      <c r="C13" s="102" t="n"/>
      <c r="D13" s="102" t="n"/>
      <c r="E13" s="102" t="n"/>
      <c r="F13" s="102" t="n"/>
      <c r="G13" s="102" t="n"/>
    </row>
    <row r="14" ht="13.95" customFormat="1" customHeight="1" s="128">
      <c r="A14" s="103" t="n"/>
      <c r="B14" s="103" t="n"/>
      <c r="C14" s="103" t="n"/>
      <c r="D14" s="103" t="n"/>
      <c r="E14" s="103" t="n"/>
      <c r="F14" s="103" t="n"/>
      <c r="G14" s="103" t="n"/>
    </row>
    <row r="15" ht="13.95" customFormat="1" customHeight="1" s="128">
      <c r="A15" s="101" t="n">
        <v>4</v>
      </c>
      <c r="B15" s="36" t="inlineStr">
        <is>
          <t>V: Ik ben strijdlustig, kan goed analyseren en met mensen omgaan.</t>
        </is>
      </c>
      <c r="C15" s="123" t="n"/>
      <c r="D15" s="123" t="n"/>
      <c r="E15" s="123" t="n"/>
      <c r="F15" s="123" t="n">
        <v>1</v>
      </c>
      <c r="G15" s="123" t="n"/>
    </row>
    <row r="16" ht="13.95" customFormat="1" customHeight="1" s="128">
      <c r="A16" s="102" t="n"/>
      <c r="B16" s="104" t="inlineStr">
        <is>
          <t xml:space="preserve">Y: Ik kan goed mijn evenwicht bewaren tussen de eisen van mijn werk
en die van mijn privé-leven.
</t>
        </is>
      </c>
      <c r="C16" s="102" t="n"/>
      <c r="D16" s="102" t="n"/>
      <c r="E16" s="102" t="n"/>
      <c r="F16" s="102" t="n"/>
      <c r="G16" s="102" t="n"/>
    </row>
    <row r="17" ht="13.95" customFormat="1" customHeight="1" s="128">
      <c r="A17" s="103" t="n"/>
      <c r="B17" s="103" t="n"/>
      <c r="C17" s="103" t="n"/>
      <c r="D17" s="103" t="n"/>
      <c r="E17" s="103" t="n"/>
      <c r="F17" s="103" t="n"/>
      <c r="G17" s="103" t="n"/>
    </row>
    <row r="18" ht="13.95" customFormat="1" customHeight="1" s="128">
      <c r="A18" s="101" t="n">
        <v>5</v>
      </c>
      <c r="B18" s="36" t="inlineStr">
        <is>
          <t>X: Ik wil onafhankelijk werken.</t>
        </is>
      </c>
      <c r="C18" s="123" t="n"/>
      <c r="D18" s="123" t="n"/>
      <c r="E18" s="123" t="n"/>
      <c r="F18" s="123" t="n">
        <v>1</v>
      </c>
      <c r="G18" s="123" t="n"/>
    </row>
    <row r="19" ht="13.95" customFormat="1" customHeight="1" s="128">
      <c r="A19" s="102" t="n"/>
      <c r="B19" s="104" t="inlineStr">
        <is>
          <t xml:space="preserve">W: Ik houd ervan me een vertegenwoordiger te voelen van een
groter geheel.
</t>
        </is>
      </c>
      <c r="C19" s="102" t="n"/>
      <c r="D19" s="102" t="n"/>
      <c r="E19" s="102" t="n"/>
      <c r="F19" s="102" t="n"/>
      <c r="G19" s="102" t="n"/>
    </row>
    <row r="20" ht="13.95" customFormat="1" customHeight="1" s="128">
      <c r="A20" s="103" t="n"/>
      <c r="B20" s="103" t="n"/>
      <c r="C20" s="103" t="n"/>
      <c r="D20" s="103" t="n"/>
      <c r="E20" s="103" t="n"/>
      <c r="F20" s="103" t="n"/>
      <c r="G20" s="103" t="n"/>
    </row>
    <row r="21" ht="13.95" customFormat="1" customHeight="1" s="128">
      <c r="A21" s="101" t="n">
        <v>6</v>
      </c>
      <c r="B21" s="104" t="inlineStr">
        <is>
          <t xml:space="preserve">Z: Ik houd ervan als consultant of probleemoplosser te werken en
me dusdanig te profileren door middel van een opwindend project.
</t>
        </is>
      </c>
      <c r="C21" s="123" t="n"/>
      <c r="D21" s="123" t="n"/>
      <c r="E21" s="123" t="n"/>
      <c r="F21" s="123" t="n">
        <v>1</v>
      </c>
      <c r="G21" s="123" t="n"/>
    </row>
    <row r="22" ht="13.95" customFormat="1" customHeight="1" s="128">
      <c r="A22" s="102" t="n"/>
      <c r="B22" s="103" t="n"/>
      <c r="C22" s="102" t="n"/>
      <c r="D22" s="102" t="n"/>
      <c r="E22" s="102" t="n"/>
      <c r="F22" s="102" t="n"/>
      <c r="G22" s="102" t="n"/>
    </row>
    <row r="23" ht="13.95" customFormat="1" customHeight="1" s="128">
      <c r="A23" s="102" t="n"/>
      <c r="B23" s="104" t="inlineStr">
        <is>
          <t xml:space="preserve">V: Ik houd ervan in een situatie te werken waarin ik de leiding
heb en verantwoordelijk ben voor het bereiken van bepaalde
doelen.
</t>
        </is>
      </c>
      <c r="C23" s="102" t="n"/>
      <c r="D23" s="102" t="n"/>
      <c r="E23" s="102" t="n"/>
      <c r="F23" s="102" t="n"/>
      <c r="G23" s="102" t="n"/>
    </row>
    <row r="24" ht="13.95" customFormat="1" customHeight="1" s="128">
      <c r="A24" s="102" t="n"/>
      <c r="B24" s="102" t="n"/>
      <c r="C24" s="102" t="n"/>
      <c r="D24" s="102" t="n"/>
      <c r="E24" s="102" t="n"/>
      <c r="F24" s="102" t="n"/>
      <c r="G24" s="102" t="n"/>
    </row>
    <row r="25" ht="13.95" customFormat="1" customHeight="1" s="128">
      <c r="A25" s="103" t="n"/>
      <c r="B25" s="103" t="n"/>
      <c r="C25" s="103" t="n"/>
      <c r="D25" s="103" t="n"/>
      <c r="E25" s="103" t="n"/>
      <c r="F25" s="103" t="n"/>
      <c r="G25" s="103" t="n"/>
    </row>
    <row r="26" ht="13.95" customFormat="1" customHeight="1" s="128">
      <c r="A26" s="101" t="n">
        <v>7</v>
      </c>
      <c r="B26" s="104" t="inlineStr">
        <is>
          <t xml:space="preserve">Y: Mijn echtgenoot/partner is net zo belangrijk voor mij als mijn
loopbaan.
</t>
        </is>
      </c>
      <c r="C26" s="123" t="n"/>
      <c r="D26" s="123" t="n"/>
      <c r="E26" s="123" t="n">
        <v>1</v>
      </c>
      <c r="F26" s="123" t="n"/>
      <c r="G26" s="123" t="n"/>
    </row>
    <row r="27" ht="13.95" customFormat="1" customHeight="1" s="128">
      <c r="A27" s="102" t="n"/>
      <c r="B27" s="103" t="n"/>
      <c r="C27" s="102" t="n"/>
      <c r="D27" s="102" t="n"/>
      <c r="E27" s="102" t="n"/>
      <c r="F27" s="102" t="n"/>
      <c r="G27" s="102" t="n"/>
    </row>
    <row r="28" ht="13.95" customFormat="1" customHeight="1" s="128">
      <c r="A28" s="102" t="n"/>
      <c r="B28" s="104" t="inlineStr">
        <is>
          <t xml:space="preserve">Z: Mijn echtgenoot/partner verdwijnt naar de achtergrond als ik
midden in een zeer opwindend project zit.
</t>
        </is>
      </c>
      <c r="C28" s="102" t="n"/>
      <c r="D28" s="102" t="n"/>
      <c r="E28" s="102" t="n"/>
      <c r="F28" s="102" t="n"/>
      <c r="G28" s="102" t="n"/>
    </row>
    <row r="29" ht="13.95" customFormat="1" customHeight="1" s="128">
      <c r="A29" s="103" t="n"/>
      <c r="B29" s="103" t="n"/>
      <c r="C29" s="103" t="n"/>
      <c r="D29" s="103" t="n"/>
      <c r="E29" s="103" t="n"/>
      <c r="F29" s="103" t="n"/>
      <c r="G29" s="103" t="n"/>
    </row>
    <row r="30" ht="13.95" customFormat="1" customHeight="1" s="128">
      <c r="A30" s="101" t="n">
        <v>8</v>
      </c>
      <c r="B30" s="36" t="inlineStr">
        <is>
          <t>X: Het allerbelangrijkst voor mij is vrijheid.</t>
        </is>
      </c>
      <c r="C30" s="123" t="n"/>
      <c r="D30" s="123" t="n"/>
      <c r="E30" s="123" t="n"/>
      <c r="F30" s="123" t="n">
        <v>1</v>
      </c>
      <c r="G30" s="123" t="n"/>
    </row>
    <row r="31" ht="13.95" customFormat="1" customHeight="1" s="128">
      <c r="A31" s="103" t="n"/>
      <c r="B31" s="37" t="inlineStr">
        <is>
          <t>Y: Het allerbelangrijkst voor mij is een doel in mijn leven.</t>
        </is>
      </c>
      <c r="C31" s="103" t="n"/>
      <c r="D31" s="103" t="n"/>
      <c r="E31" s="103" t="n"/>
      <c r="F31" s="103" t="n"/>
      <c r="G31" s="103" t="n"/>
    </row>
    <row r="32" ht="13.95" customFormat="1" customHeight="1" s="128">
      <c r="A32" s="101" t="n">
        <v>9</v>
      </c>
      <c r="B32" s="36" t="inlineStr">
        <is>
          <t>W: Ik ben bekwaam, loyaal, betrouwbaar en ik werk hard.</t>
        </is>
      </c>
      <c r="C32" s="123" t="n"/>
      <c r="D32" s="123" t="n"/>
      <c r="E32" s="123" t="n"/>
      <c r="F32" s="123" t="n">
        <v>1</v>
      </c>
      <c r="G32" s="123" t="n"/>
    </row>
    <row r="33" ht="13.95" customFormat="1" customHeight="1" s="128">
      <c r="A33" s="102" t="n"/>
      <c r="B33" s="104" t="inlineStr">
        <is>
          <t xml:space="preserve">V: Ik ben sociaal in de omgang, een goede leider en een goede
organisator.
</t>
        </is>
      </c>
      <c r="C33" s="102" t="n"/>
      <c r="D33" s="102" t="n"/>
      <c r="E33" s="102" t="n"/>
      <c r="F33" s="102" t="n"/>
      <c r="G33" s="102" t="n"/>
    </row>
    <row r="34" ht="13.95" customFormat="1" customHeight="1" s="128">
      <c r="A34" s="103" t="n"/>
      <c r="B34" s="103" t="n"/>
      <c r="C34" s="103" t="n"/>
      <c r="D34" s="103" t="n"/>
      <c r="E34" s="103" t="n"/>
      <c r="F34" s="103" t="n"/>
      <c r="G34" s="103" t="n"/>
    </row>
    <row r="35" ht="13.95" customFormat="1" customHeight="1" s="128">
      <c r="A35" s="101" t="n">
        <v>10</v>
      </c>
      <c r="B35" s="36" t="inlineStr">
        <is>
          <t>X: Ik ben onafhankelijk.</t>
        </is>
      </c>
      <c r="C35" s="123" t="n"/>
      <c r="D35" s="123" t="n"/>
      <c r="E35" s="123" t="n"/>
      <c r="F35" s="123" t="n"/>
      <c r="G35" s="123" t="n">
        <v>1</v>
      </c>
    </row>
    <row r="36" ht="13.95" customFormat="1" customHeight="1" s="128">
      <c r="A36" s="103" t="n"/>
      <c r="B36" s="37" t="inlineStr">
        <is>
          <t>Y: Ik ben evenwichtig.</t>
        </is>
      </c>
      <c r="C36" s="103" t="n"/>
      <c r="D36" s="103" t="n"/>
      <c r="E36" s="103" t="n"/>
      <c r="F36" s="103" t="n"/>
      <c r="G36" s="103" t="n"/>
    </row>
    <row r="37" ht="13.95" customFormat="1" customHeight="1" s="128">
      <c r="A37" s="101" t="n">
        <v>11</v>
      </c>
      <c r="B37" s="36" t="inlineStr">
        <is>
          <t>Z: Ik ben iemand die in actie komt door opwindende projecten.</t>
        </is>
      </c>
      <c r="C37" s="123" t="n"/>
      <c r="D37" s="123" t="n"/>
      <c r="E37" s="123" t="n"/>
      <c r="F37" s="123" t="n"/>
      <c r="G37" s="123" t="n">
        <v>1</v>
      </c>
    </row>
    <row r="38" ht="13.95" customFormat="1" customHeight="1" s="128">
      <c r="A38" s="103" t="n"/>
      <c r="B38" s="37" t="inlineStr">
        <is>
          <t>V: Ik ben iemand die graag met anderen wedijvert.</t>
        </is>
      </c>
      <c r="C38" s="103" t="n"/>
      <c r="D38" s="103" t="n"/>
      <c r="E38" s="103" t="n"/>
      <c r="F38" s="103" t="n"/>
      <c r="G38" s="103" t="n"/>
    </row>
    <row r="39" ht="13.95" customFormat="1" customHeight="1" s="128">
      <c r="A39" s="101" t="n">
        <v>12</v>
      </c>
      <c r="B39" s="36" t="inlineStr">
        <is>
          <t>Y: Ik ben iemand die genuanceerd over zaken nadenkt.</t>
        </is>
      </c>
      <c r="C39" s="123" t="n"/>
      <c r="D39" s="123" t="n"/>
      <c r="E39" s="123" t="n"/>
      <c r="F39" s="123" t="n"/>
      <c r="G39" s="123" t="n">
        <v>1</v>
      </c>
    </row>
    <row r="40" ht="13.95" customFormat="1" customHeight="1" s="128">
      <c r="A40" s="103" t="n"/>
      <c r="B40" s="37" t="inlineStr">
        <is>
          <t>V: Ik ben ambitieus en iemand die graag met anderen wedijvert.</t>
        </is>
      </c>
      <c r="C40" s="103" t="n"/>
      <c r="D40" s="103" t="n"/>
      <c r="E40" s="103" t="n"/>
      <c r="F40" s="103" t="n"/>
      <c r="G40" s="103" t="n"/>
    </row>
    <row r="41" ht="13.95" customFormat="1" customHeight="1" s="128">
      <c r="A41" s="101" t="n">
        <v>13</v>
      </c>
      <c r="B41" s="36" t="inlineStr">
        <is>
          <t>X: Ik heb veel zelfvertrouwen en ben in staat mezelf te redden.</t>
        </is>
      </c>
      <c r="C41" s="123" t="n"/>
      <c r="D41" s="123" t="n"/>
      <c r="E41" s="123" t="n">
        <v>1</v>
      </c>
      <c r="F41" s="123" t="n"/>
      <c r="G41" s="123" t="n"/>
    </row>
    <row r="42" ht="13.95" customFormat="1" customHeight="1" s="128">
      <c r="A42" s="103" t="n"/>
      <c r="B42" s="37" t="inlineStr">
        <is>
          <t>Z: Ik heb veel fantasie en enthousiasme.</t>
        </is>
      </c>
      <c r="C42" s="103" t="n"/>
      <c r="D42" s="103" t="n"/>
      <c r="E42" s="103" t="n"/>
      <c r="F42" s="103" t="n"/>
      <c r="G42" s="103" t="n"/>
    </row>
    <row r="43" ht="13.95" customFormat="1" customHeight="1" s="128">
      <c r="A43" s="101" t="n">
        <v>14</v>
      </c>
      <c r="B43" s="36" t="inlineStr">
        <is>
          <t>W: Ik ben stabiel en vasthoudend.</t>
        </is>
      </c>
      <c r="C43" s="123" t="n"/>
      <c r="D43" s="123" t="n">
        <v>1</v>
      </c>
      <c r="E43" s="123" t="n"/>
      <c r="F43" s="123" t="n"/>
      <c r="G43" s="123" t="n"/>
    </row>
    <row r="44" ht="13.95" customFormat="1" customHeight="1" s="128">
      <c r="A44" s="103" t="n"/>
      <c r="B44" s="38" t="inlineStr">
        <is>
          <t>X: Ik ben onafhankelijk en in staat een eigen koers te bepalen.</t>
        </is>
      </c>
      <c r="C44" s="103" t="n"/>
      <c r="D44" s="103" t="n"/>
      <c r="E44" s="103" t="n"/>
      <c r="F44" s="103" t="n"/>
      <c r="G44" s="103" t="n"/>
    </row>
    <row r="45" ht="13.95" customFormat="1" customHeight="1" s="128">
      <c r="A45" s="101" t="n">
        <v>15</v>
      </c>
      <c r="B45" s="36" t="inlineStr">
        <is>
          <t>V: Ik ben iemand die goed kan plannen en organiseren.</t>
        </is>
      </c>
      <c r="C45" s="123" t="n"/>
      <c r="D45" s="123" t="n">
        <v>1</v>
      </c>
      <c r="E45" s="123" t="n"/>
      <c r="F45" s="123" t="n"/>
      <c r="G45" s="123" t="n"/>
    </row>
    <row r="46" ht="13.95" customFormat="1" customHeight="1" s="128">
      <c r="A46" s="102" t="n"/>
      <c r="B46" s="104" t="inlineStr">
        <is>
          <t xml:space="preserve">Z: Ik ben iemand die situaties analyseert en creatieve, nieuwe
oplossingen ontwikkelt.
</t>
        </is>
      </c>
      <c r="C46" s="102" t="n"/>
      <c r="D46" s="102" t="n"/>
      <c r="E46" s="102" t="n"/>
      <c r="F46" s="102" t="n"/>
      <c r="G46" s="102" t="n"/>
    </row>
    <row r="47" ht="13.95" customFormat="1" customHeight="1" s="128">
      <c r="A47" s="103" t="n"/>
      <c r="B47" s="103" t="n"/>
      <c r="C47" s="103" t="n"/>
      <c r="D47" s="103" t="n"/>
      <c r="E47" s="103" t="n"/>
      <c r="F47" s="103" t="n"/>
      <c r="G47" s="103" t="n"/>
    </row>
    <row r="48" ht="13.95" customFormat="1" customHeight="1" s="128">
      <c r="A48" s="101" t="n">
        <v>16</v>
      </c>
      <c r="B48" s="36" t="inlineStr">
        <is>
          <t>Z: Ik ben een expert op mijn terrein.</t>
        </is>
      </c>
      <c r="C48" s="123" t="n"/>
      <c r="D48" s="123" t="n"/>
      <c r="E48" s="123" t="n"/>
      <c r="F48" s="123" t="n"/>
      <c r="G48" s="123" t="n">
        <v>1</v>
      </c>
    </row>
    <row r="49" ht="13.95" customFormat="1" customHeight="1" s="128">
      <c r="A49" s="103" t="n"/>
      <c r="B49" s="38" t="inlineStr">
        <is>
          <t>W: Ik ben een betrouwbaar en degelijk persoon.</t>
        </is>
      </c>
      <c r="C49" s="103" t="n"/>
      <c r="D49" s="103" t="n"/>
      <c r="E49" s="103" t="n"/>
      <c r="F49" s="103" t="n"/>
      <c r="G49" s="103" t="n"/>
    </row>
    <row r="50" ht="12.75" customFormat="1" customHeight="1" s="128">
      <c r="A50" s="101" t="n">
        <v>17</v>
      </c>
      <c r="B50" s="80" t="inlineStr">
        <is>
          <t xml:space="preserve">W: Ik ben iemand die wil werken volgens vaststaande procedures.
</t>
        </is>
      </c>
      <c r="C50" s="123" t="n"/>
      <c r="D50" s="123" t="n">
        <v>1</v>
      </c>
      <c r="E50" s="123" t="n"/>
      <c r="F50" s="123" t="n"/>
      <c r="G50" s="123" t="n"/>
    </row>
    <row r="51" ht="13.95" customFormat="1" customHeight="1" s="128">
      <c r="A51" s="102" t="n"/>
      <c r="B51" s="129" t="inlineStr">
        <is>
          <t xml:space="preserve">Y: Ik ben iemand die probeert de doelen in het werk in overeenstemming
te brengen met wat ik persoonlijk nastreef.
</t>
        </is>
      </c>
      <c r="C51" s="102" t="n"/>
      <c r="D51" s="102" t="n"/>
      <c r="E51" s="102" t="n"/>
      <c r="F51" s="102" t="n"/>
      <c r="G51" s="102" t="n"/>
    </row>
    <row r="52" ht="15" customFormat="1" customHeight="1" s="128">
      <c r="A52" s="103" t="n"/>
      <c r="B52" s="103" t="n"/>
      <c r="C52" s="103" t="n"/>
      <c r="D52" s="103" t="n"/>
      <c r="E52" s="103" t="n"/>
      <c r="F52" s="103" t="n"/>
      <c r="G52" s="103" t="n"/>
    </row>
    <row r="53" ht="13.95" customFormat="1" customHeight="1" s="128">
      <c r="A53" s="101" t="n">
        <v>18</v>
      </c>
      <c r="B53" s="81" t="inlineStr">
        <is>
          <t>X: Een persoonlijk doel is om mijn eigen lot te bepalen.</t>
        </is>
      </c>
      <c r="C53" s="123" t="n"/>
      <c r="D53" s="123" t="n"/>
      <c r="E53" s="123" t="n">
        <v>1</v>
      </c>
      <c r="F53" s="123" t="n"/>
      <c r="G53" s="123" t="n"/>
    </row>
    <row r="54" ht="13.95" customFormat="1" customHeight="1" s="128">
      <c r="A54" s="102" t="n"/>
      <c r="B54" s="104" t="inlineStr">
        <is>
          <t xml:space="preserve">Y: Een persoonlijk doel is om mijn werk niet te verweven met mijn
privé-leven.
</t>
        </is>
      </c>
      <c r="C54" s="102" t="n"/>
      <c r="D54" s="102" t="n"/>
      <c r="E54" s="102" t="n"/>
      <c r="F54" s="102" t="n"/>
      <c r="G54" s="102" t="n"/>
    </row>
    <row r="55" ht="13.95" customFormat="1" customHeight="1" s="128">
      <c r="A55" s="103" t="n"/>
      <c r="B55" s="103" t="n"/>
      <c r="C55" s="103" t="n"/>
      <c r="D55" s="103" t="n"/>
      <c r="E55" s="103" t="n"/>
      <c r="F55" s="103" t="n"/>
      <c r="G55" s="103" t="n"/>
    </row>
    <row r="56" ht="13.95" customFormat="1" customHeight="1" s="128">
      <c r="A56" s="101" t="n">
        <v>19</v>
      </c>
      <c r="B56" s="104" t="inlineStr">
        <is>
          <t xml:space="preserve">W: Ik vind het belangrijk een veilige baan te hebben en het gevoel
te hebben erbij te horen.
</t>
        </is>
      </c>
      <c r="C56" s="123" t="n">
        <v>1</v>
      </c>
      <c r="D56" s="123" t="n"/>
      <c r="E56" s="123" t="n"/>
      <c r="F56" s="123" t="n"/>
      <c r="G56" s="123" t="n"/>
    </row>
    <row r="57" ht="13.95" customFormat="1" customHeight="1" s="128">
      <c r="A57" s="102" t="n"/>
      <c r="B57" s="103" t="n"/>
      <c r="C57" s="102" t="n"/>
      <c r="D57" s="102" t="n"/>
      <c r="E57" s="102" t="n"/>
      <c r="F57" s="102" t="n"/>
      <c r="G57" s="102" t="n"/>
    </row>
    <row r="58" ht="13.95" customFormat="1" customHeight="1" s="128">
      <c r="A58" s="102" t="n"/>
      <c r="B58" s="104" t="inlineStr">
        <is>
          <t xml:space="preserve">Y: Ik vind het belangrijk om tijd te kunnen besteden aan mijn
privé-leven en hobby’s.
</t>
        </is>
      </c>
      <c r="C58" s="102" t="n"/>
      <c r="D58" s="102" t="n"/>
      <c r="E58" s="102" t="n"/>
      <c r="F58" s="102" t="n"/>
      <c r="G58" s="102" t="n"/>
    </row>
    <row r="59" ht="13.95" customFormat="1" customHeight="1" s="128">
      <c r="A59" s="103" t="n"/>
      <c r="B59" s="103" t="n"/>
      <c r="C59" s="103" t="n"/>
      <c r="D59" s="103" t="n"/>
      <c r="E59" s="103" t="n"/>
      <c r="F59" s="103" t="n"/>
      <c r="G59" s="103" t="n"/>
    </row>
    <row r="60" ht="13.95" customFormat="1" customHeight="1" s="128">
      <c r="A60" s="101" t="n">
        <v>20</v>
      </c>
      <c r="B60" s="104" t="inlineStr">
        <is>
          <t xml:space="preserve">V: Ik geef de voorkeur aan een carrière waarin veel promotiekansen
voorhanden zijn.
</t>
        </is>
      </c>
      <c r="C60" s="123" t="n"/>
      <c r="D60" s="123" t="n"/>
      <c r="E60" s="123" t="n"/>
      <c r="F60" s="123" t="n">
        <v>1</v>
      </c>
      <c r="G60" s="123" t="n"/>
    </row>
    <row r="61" ht="13.95" customFormat="1" customHeight="1" s="128">
      <c r="A61" s="102" t="n"/>
      <c r="B61" s="103" t="n"/>
      <c r="C61" s="102" t="n"/>
      <c r="D61" s="102" t="n"/>
      <c r="E61" s="102" t="n"/>
      <c r="F61" s="102" t="n"/>
      <c r="G61" s="102" t="n"/>
    </row>
    <row r="62" ht="13.95" customFormat="1" customHeight="1" s="128">
      <c r="A62" s="102" t="n"/>
      <c r="B62" s="104" t="inlineStr">
        <is>
          <t xml:space="preserve">Z: Ik geef er de voorkeur aan om in staat gesteld te worden uitdagende
problemen en taken aan te pakken.
</t>
        </is>
      </c>
      <c r="C62" s="102" t="n"/>
      <c r="D62" s="102" t="n"/>
      <c r="E62" s="102" t="n"/>
      <c r="F62" s="102" t="n"/>
      <c r="G62" s="102" t="n"/>
    </row>
    <row r="63" ht="13.95" customFormat="1" customHeight="1" s="128">
      <c r="A63" s="103" t="n"/>
      <c r="B63" s="103" t="n"/>
      <c r="C63" s="103" t="n"/>
      <c r="D63" s="103" t="n"/>
      <c r="E63" s="103" t="n"/>
      <c r="F63" s="103" t="n"/>
      <c r="G63" s="103" t="n"/>
    </row>
    <row r="64" ht="13.95" customFormat="1" customHeight="1" s="128">
      <c r="A64" s="101" t="n">
        <v>21</v>
      </c>
      <c r="B64" s="104" t="inlineStr">
        <is>
          <t xml:space="preserve">V: Ik ben graag in een werksituatie waar invloed uitgeoefend kan
worden.
</t>
        </is>
      </c>
      <c r="C64" s="123" t="n"/>
      <c r="D64" s="123" t="n"/>
      <c r="E64" s="123" t="n"/>
      <c r="F64" s="123" t="n"/>
      <c r="G64" s="123" t="n">
        <v>1</v>
      </c>
    </row>
    <row r="65" ht="13.95" customFormat="1" customHeight="1" s="128">
      <c r="A65" s="102" t="n"/>
      <c r="B65" s="103" t="n"/>
      <c r="C65" s="102" t="n"/>
      <c r="D65" s="102" t="n"/>
      <c r="E65" s="102" t="n"/>
      <c r="F65" s="102" t="n"/>
      <c r="G65" s="102" t="n"/>
    </row>
    <row r="66" ht="13.95" customFormat="1" customHeight="1" s="128">
      <c r="A66" s="102" t="n"/>
      <c r="B66" s="104" t="inlineStr">
        <is>
          <t xml:space="preserve">W: Ik waardeer een baan waar je langere tijd kunt blijven werken
en waar ik gewaardeerd en geaccepteerd wordt.
</t>
        </is>
      </c>
      <c r="C66" s="102" t="n"/>
      <c r="D66" s="102" t="n"/>
      <c r="E66" s="102" t="n"/>
      <c r="F66" s="102" t="n"/>
      <c r="G66" s="102" t="n"/>
    </row>
    <row r="67" ht="13.95" customFormat="1" customHeight="1" s="128">
      <c r="A67" s="103" t="n"/>
      <c r="B67" s="103" t="n"/>
      <c r="C67" s="103" t="n"/>
      <c r="D67" s="103" t="n"/>
      <c r="E67" s="103" t="n"/>
      <c r="F67" s="103" t="n"/>
      <c r="G67" s="103" t="n"/>
    </row>
    <row r="68" ht="13.95" customFormat="1" customHeight="1" s="128">
      <c r="A68" s="101" t="n">
        <v>22</v>
      </c>
      <c r="B68" s="104" t="inlineStr">
        <is>
          <t xml:space="preserve">V: Ik denk dat de juiste mensen kennen en goede vrienden maken
belangrijk is om vooruit te komen.
</t>
        </is>
      </c>
      <c r="C68" s="123" t="n"/>
      <c r="D68" s="123" t="n"/>
      <c r="E68" s="123" t="n">
        <v>1</v>
      </c>
      <c r="F68" s="123" t="n"/>
      <c r="G68" s="123" t="n"/>
    </row>
    <row r="69" ht="13.95" customFormat="1" customHeight="1" s="128">
      <c r="A69" s="102" t="n"/>
      <c r="B69" s="103" t="n"/>
      <c r="C69" s="102" t="n"/>
      <c r="D69" s="102" t="n"/>
      <c r="E69" s="102" t="n"/>
      <c r="F69" s="102" t="n"/>
      <c r="G69" s="102" t="n"/>
    </row>
    <row r="70" ht="13.95" customFormat="1" customHeight="1" s="128">
      <c r="A70" s="103" t="n"/>
      <c r="B70" s="38" t="inlineStr">
        <is>
          <t>Y: Ik denk dat het essentieel is om interessegebieden te ontwikkelen.</t>
        </is>
      </c>
      <c r="C70" s="103" t="n"/>
      <c r="D70" s="103" t="n"/>
      <c r="E70" s="103" t="n"/>
      <c r="F70" s="103" t="n"/>
      <c r="G70" s="103" t="n"/>
    </row>
    <row r="71" ht="13.95" customFormat="1" customHeight="1" s="128">
      <c r="A71" s="101" t="n">
        <v>23</v>
      </c>
      <c r="B71" s="104" t="inlineStr">
        <is>
          <t xml:space="preserve">Y: Voor mij geldt als basis het scheppen van een evenwicht tussen
mijn privé-leven en mijn werk.
</t>
        </is>
      </c>
      <c r="C71" s="123" t="n"/>
      <c r="D71" s="123" t="n"/>
      <c r="E71" s="123" t="n">
        <v>1</v>
      </c>
      <c r="F71" s="123" t="n"/>
      <c r="G71" s="123" t="n"/>
    </row>
    <row r="72" ht="13.95" customFormat="1" customHeight="1" s="128">
      <c r="A72" s="102" t="n"/>
      <c r="B72" s="103" t="n"/>
      <c r="C72" s="102" t="n"/>
      <c r="D72" s="102" t="n"/>
      <c r="E72" s="102" t="n"/>
      <c r="F72" s="102" t="n"/>
      <c r="G72" s="102" t="n"/>
    </row>
    <row r="73" ht="13.95" customFormat="1" customHeight="1" s="128">
      <c r="A73" s="102" t="n"/>
      <c r="B73" s="104" t="inlineStr">
        <is>
          <t xml:space="preserve">W: Voor mij geldt als basis stabiliteit, waardering en een veilige
plaats binnen mijn werksituatie.
</t>
        </is>
      </c>
      <c r="C73" s="102" t="n"/>
      <c r="D73" s="102" t="n"/>
      <c r="E73" s="102" t="n"/>
      <c r="F73" s="102" t="n"/>
      <c r="G73" s="102" t="n"/>
    </row>
    <row r="74" ht="13.95" customFormat="1" customHeight="1" s="128">
      <c r="A74" s="103" t="n"/>
      <c r="B74" s="103" t="n"/>
      <c r="C74" s="103" t="n"/>
      <c r="D74" s="103" t="n"/>
      <c r="E74" s="103" t="n"/>
      <c r="F74" s="103" t="n"/>
      <c r="G74" s="103" t="n"/>
    </row>
    <row r="75" ht="13.95" customFormat="1" customHeight="1" s="128">
      <c r="A75" s="101" t="n">
        <v>24</v>
      </c>
      <c r="B75" s="104" t="inlineStr">
        <is>
          <t xml:space="preserve">X: Ik denk dat ik graag een positie zou willen hebben met een
maximum aan zelfstandigheid.
</t>
        </is>
      </c>
      <c r="C75" s="123" t="n"/>
      <c r="D75" s="123" t="n"/>
      <c r="E75" s="123" t="n"/>
      <c r="F75" s="123" t="n"/>
      <c r="G75" s="123" t="n">
        <v>1</v>
      </c>
    </row>
    <row r="76" ht="13.95" customFormat="1" customHeight="1" s="128">
      <c r="A76" s="102" t="n"/>
      <c r="B76" s="103" t="n"/>
      <c r="C76" s="102" t="n"/>
      <c r="D76" s="102" t="n"/>
      <c r="E76" s="102" t="n"/>
      <c r="F76" s="102" t="n"/>
      <c r="G76" s="102" t="n"/>
    </row>
    <row r="77" ht="13.95" customFormat="1" customHeight="1" s="128">
      <c r="A77" s="102" t="n"/>
      <c r="B77" s="104" t="inlineStr">
        <is>
          <t xml:space="preserve">V: Ik denk dat ik graag tot "de kring van ingewijden" zou willen
behoren.
</t>
        </is>
      </c>
      <c r="C77" s="102" t="n"/>
      <c r="D77" s="102" t="n"/>
      <c r="E77" s="102" t="n"/>
      <c r="F77" s="102" t="n"/>
      <c r="G77" s="102" t="n"/>
    </row>
    <row r="78" ht="13.95" customFormat="1" customHeight="1" s="128">
      <c r="A78" s="103" t="n"/>
      <c r="B78" s="103" t="n"/>
      <c r="C78" s="103" t="n"/>
      <c r="D78" s="103" t="n"/>
      <c r="E78" s="103" t="n"/>
      <c r="F78" s="103" t="n"/>
      <c r="G78" s="103" t="n"/>
    </row>
    <row r="79" ht="13.95" customFormat="1" customHeight="1" s="128">
      <c r="A79" s="101" t="n">
        <v>25</v>
      </c>
      <c r="B79" s="104" t="inlineStr">
        <is>
          <t xml:space="preserve">W: Voor mij geldt als basis stabiliteit, waardering en een veilige
plaats op het werk.
</t>
        </is>
      </c>
      <c r="C79" s="123" t="n"/>
      <c r="D79" s="123" t="n">
        <v>1</v>
      </c>
      <c r="E79" s="123" t="n"/>
      <c r="F79" s="123" t="n"/>
      <c r="G79" s="123" t="n"/>
    </row>
    <row r="80" ht="13.95" customFormat="1" customHeight="1" s="128">
      <c r="A80" s="102" t="n"/>
      <c r="B80" s="103" t="n"/>
      <c r="C80" s="102" t="n"/>
      <c r="D80" s="102" t="n"/>
      <c r="E80" s="102" t="n"/>
      <c r="F80" s="102" t="n"/>
      <c r="G80" s="102" t="n"/>
    </row>
    <row r="81" ht="13.95" customFormat="1" customHeight="1" s="128">
      <c r="A81" s="103" t="n"/>
      <c r="B81" s="38" t="inlineStr">
        <is>
          <t>V: Als basis geldt voor mij dat ik vooruit wil komen in de werkomgeving.</t>
        </is>
      </c>
      <c r="C81" s="103" t="n"/>
      <c r="D81" s="103" t="n"/>
      <c r="E81" s="103" t="n"/>
      <c r="F81" s="103" t="n"/>
      <c r="G81" s="103" t="n"/>
    </row>
    <row r="82" ht="13.95" customFormat="1" customHeight="1" s="128">
      <c r="A82" s="101" t="n">
        <v>26</v>
      </c>
      <c r="B82" s="104" t="inlineStr">
        <is>
          <t xml:space="preserve">V: Ik denk dat geld, macht en aanzien een belangrijke maatstaf
zijn van een succesvolle loopbaan.
</t>
        </is>
      </c>
      <c r="C82" s="123" t="n"/>
      <c r="D82" s="123" t="n"/>
      <c r="E82" s="123" t="n"/>
      <c r="F82" s="123" t="n">
        <v>1</v>
      </c>
      <c r="G82" s="123" t="n"/>
    </row>
    <row r="83" ht="13.95" customFormat="1" customHeight="1" s="128">
      <c r="A83" s="102" t="n"/>
      <c r="B83" s="103" t="n"/>
      <c r="C83" s="102" t="n"/>
      <c r="D83" s="102" t="n"/>
      <c r="E83" s="102" t="n"/>
      <c r="F83" s="102" t="n"/>
      <c r="G83" s="102" t="n"/>
    </row>
    <row r="84" ht="13.95" customFormat="1" customHeight="1" s="128">
      <c r="A84" s="102" t="n"/>
      <c r="B84" s="104" t="inlineStr">
        <is>
          <t xml:space="preserve">Y: Ik denk dat een loopbaan succesvol is als je evenveel tijd hebt
voor het werk, het gezin en je eigen ontwikkeling.
</t>
        </is>
      </c>
      <c r="C84" s="102" t="n"/>
      <c r="D84" s="102" t="n"/>
      <c r="E84" s="102" t="n"/>
      <c r="F84" s="102" t="n"/>
      <c r="G84" s="102" t="n"/>
    </row>
    <row r="85" ht="13.95" customFormat="1" customHeight="1" s="128">
      <c r="A85" s="103" t="n"/>
      <c r="B85" s="103" t="n"/>
      <c r="C85" s="103" t="n"/>
      <c r="D85" s="103" t="n"/>
      <c r="E85" s="103" t="n"/>
      <c r="F85" s="103" t="n"/>
      <c r="G85" s="103" t="n"/>
    </row>
    <row r="86" ht="13.95" customFormat="1" customHeight="1" s="128">
      <c r="A86" s="101" t="n">
        <v>27</v>
      </c>
      <c r="B86" s="36" t="inlineStr">
        <is>
          <t>Z: Ik wil liever uitblinken op mijn gebied.</t>
        </is>
      </c>
      <c r="C86" s="123" t="n"/>
      <c r="D86" s="123" t="n">
        <v>1</v>
      </c>
      <c r="E86" s="123" t="n"/>
      <c r="F86" s="123" t="n"/>
      <c r="G86" s="123" t="n"/>
    </row>
    <row r="87" ht="13.95" customFormat="1" customHeight="1" s="128">
      <c r="A87" s="103" t="n"/>
      <c r="B87" s="38" t="inlineStr">
        <is>
          <t>W: Ik wil liever beschouwd worden als betrouwbaar en loyaal.</t>
        </is>
      </c>
      <c r="C87" s="103" t="n"/>
      <c r="D87" s="103" t="n"/>
      <c r="E87" s="103" t="n"/>
      <c r="F87" s="103" t="n"/>
      <c r="G87" s="103" t="n"/>
    </row>
    <row r="88" ht="13.95" customFormat="1" customHeight="1" s="128">
      <c r="A88" s="101" t="n">
        <v>28</v>
      </c>
      <c r="B88" s="104" t="inlineStr">
        <is>
          <t xml:space="preserve">W: Ik geef de voorkeur aan het werken met een team op lange termijn
en een hechte basis.
</t>
        </is>
      </c>
      <c r="C88" s="123" t="n"/>
      <c r="D88" s="123" t="n"/>
      <c r="E88" s="123" t="n"/>
      <c r="F88" s="123" t="n">
        <v>1</v>
      </c>
      <c r="G88" s="123" t="n"/>
    </row>
    <row r="89" ht="13.95" customFormat="1" customHeight="1" s="128">
      <c r="A89" s="102" t="n"/>
      <c r="B89" s="103" t="n"/>
      <c r="C89" s="102" t="n"/>
      <c r="D89" s="102" t="n"/>
      <c r="E89" s="102" t="n"/>
      <c r="F89" s="102" t="n"/>
      <c r="G89" s="102" t="n"/>
    </row>
    <row r="90" ht="13.95" customFormat="1" customHeight="1" s="128">
      <c r="A90" s="102" t="n"/>
      <c r="B90" s="104" t="inlineStr">
        <is>
          <t xml:space="preserve">Z: Ik geef de voorkeur aan het werken met een taakgerichte of projectgroep
op korte termijn basis en in een hoog tempo.
</t>
        </is>
      </c>
      <c r="C90" s="102" t="n"/>
      <c r="D90" s="102" t="n"/>
      <c r="E90" s="102" t="n"/>
      <c r="F90" s="102" t="n"/>
      <c r="G90" s="102" t="n"/>
    </row>
    <row r="91" ht="13.95" customFormat="1" customHeight="1" s="128">
      <c r="A91" s="103" t="n"/>
      <c r="B91" s="103" t="n"/>
      <c r="C91" s="103" t="n"/>
      <c r="D91" s="103" t="n"/>
      <c r="E91" s="103" t="n"/>
      <c r="F91" s="103" t="n"/>
      <c r="G91" s="103" t="n"/>
    </row>
    <row r="92" ht="13.95" customFormat="1" customHeight="1" s="128">
      <c r="A92" s="124" t="n">
        <v>29</v>
      </c>
      <c r="B92" s="104" t="inlineStr">
        <is>
          <t xml:space="preserve">Z: Ik geef de voorkeur aan professionele ontwikkeling en permanente
training.
</t>
        </is>
      </c>
      <c r="C92" s="123" t="n"/>
      <c r="D92" s="123" t="n"/>
      <c r="E92" s="123" t="n">
        <v>1</v>
      </c>
      <c r="F92" s="123" t="n"/>
      <c r="G92" s="123" t="n"/>
    </row>
    <row r="93" ht="13.95" customFormat="1" customHeight="1" s="128">
      <c r="A93" s="102" t="n"/>
      <c r="B93" s="103" t="n"/>
      <c r="C93" s="102" t="n"/>
      <c r="D93" s="102" t="n"/>
      <c r="E93" s="102" t="n"/>
      <c r="F93" s="102" t="n"/>
      <c r="G93" s="102" t="n"/>
    </row>
    <row r="94" ht="13.95" customFormat="1" customHeight="1" s="128">
      <c r="A94" s="102" t="n"/>
      <c r="B94" s="104" t="inlineStr">
        <is>
          <t xml:space="preserve">X: Ik geef de voorkeur aan professionele ontwikkeling om een expert te 
worden en om meer flexibiliteit en onafhankelijkheid te verkrijgen.
</t>
        </is>
      </c>
      <c r="C94" s="102" t="n"/>
      <c r="D94" s="102" t="n"/>
      <c r="E94" s="102" t="n"/>
      <c r="F94" s="102" t="n"/>
      <c r="G94" s="102" t="n"/>
    </row>
    <row r="95" ht="13.95" customFormat="1" customHeight="1" s="128">
      <c r="A95" s="102" t="n"/>
      <c r="B95" s="103" t="n"/>
      <c r="C95" s="103" t="n"/>
      <c r="D95" s="103" t="n"/>
      <c r="E95" s="103" t="n"/>
      <c r="F95" s="103" t="n"/>
      <c r="G95" s="103" t="n"/>
    </row>
    <row r="96" ht="13.95" customFormat="1" customHeight="1" s="128">
      <c r="A96" s="101" t="n">
        <v>30</v>
      </c>
      <c r="B96" s="104" t="inlineStr">
        <is>
          <t xml:space="preserve">Y: Ik geef de voorkeur aan een werksituatie die een evenwicht garandeert
tussen mijn privé-leven en mijn werk.
</t>
        </is>
      </c>
      <c r="C96" s="123" t="n"/>
      <c r="D96" s="123" t="n"/>
      <c r="E96" s="123" t="n"/>
      <c r="F96" s="123" t="n">
        <v>1</v>
      </c>
      <c r="G96" s="123" t="n"/>
    </row>
    <row r="97" ht="13.95" customFormat="1" customHeight="1" s="128">
      <c r="A97" s="102" t="n"/>
      <c r="B97" s="103" t="n"/>
      <c r="C97" s="102" t="n"/>
      <c r="D97" s="102" t="n"/>
      <c r="E97" s="102" t="n"/>
      <c r="F97" s="102" t="n"/>
      <c r="G97" s="102" t="n"/>
    </row>
    <row r="98" ht="13.95" customFormat="1" customHeight="1" s="128">
      <c r="A98" s="102" t="n"/>
      <c r="B98" s="104" t="inlineStr">
        <is>
          <t xml:space="preserve">Z: Ik geef de voorkeur aan een werksituatie die opwindend is en
mij stimuleert.
</t>
        </is>
      </c>
      <c r="C98" s="102" t="n"/>
      <c r="D98" s="102" t="n"/>
      <c r="E98" s="102" t="n"/>
      <c r="F98" s="102" t="n"/>
      <c r="G98" s="102" t="n"/>
    </row>
    <row r="99" ht="13.95" customFormat="1" customHeight="1" s="128">
      <c r="A99" s="103" t="n"/>
      <c r="B99" s="103" t="n"/>
      <c r="C99" s="103" t="n"/>
      <c r="D99" s="103" t="n"/>
      <c r="E99" s="103" t="n"/>
      <c r="F99" s="103" t="n"/>
      <c r="G99" s="103" t="n"/>
    </row>
    <row r="100" ht="13.95" customFormat="1" customHeight="1" s="128">
      <c r="A100" s="126" t="inlineStr">
        <is>
          <t>Totaal score</t>
        </is>
      </c>
      <c r="B100" s="116" t="n"/>
      <c r="C100" s="7">
        <f>SUM(C4:C99)</f>
        <v/>
      </c>
      <c r="D100" s="7">
        <f>SUM(D4:D99)</f>
        <v/>
      </c>
      <c r="E100" s="7">
        <f>SUM(E4:E99)</f>
        <v/>
      </c>
      <c r="F100" s="7">
        <f>SUM(F4:F99)</f>
        <v/>
      </c>
      <c r="G100" s="7">
        <f>SUM(G4:G99)</f>
        <v/>
      </c>
    </row>
    <row r="101" ht="13.95" customFormat="1" customHeight="1" s="128">
      <c r="A101" s="119" t="n"/>
      <c r="B101" s="121" t="n"/>
      <c r="C101" s="125">
        <f>C100+D100+E100+F100+G100</f>
        <v/>
      </c>
      <c r="D101" s="109" t="n"/>
      <c r="E101" s="109" t="n"/>
      <c r="F101" s="109" t="n"/>
      <c r="G101" s="110" t="n"/>
    </row>
    <row r="102" ht="13.95" customFormat="1" customHeight="1" s="128">
      <c r="A102" s="133" t="n"/>
    </row>
    <row r="103" ht="13.95" customFormat="1" customHeight="1" s="128">
      <c r="A103" s="108" t="inlineStr">
        <is>
          <t>Score</t>
        </is>
      </c>
      <c r="B103" s="108" t="inlineStr">
        <is>
          <t>Omschrijving</t>
        </is>
      </c>
      <c r="C103" s="108" t="inlineStr">
        <is>
          <t>Omhoog | V</t>
        </is>
      </c>
      <c r="D103" s="108" t="inlineStr">
        <is>
          <t>Veilig | W</t>
        </is>
      </c>
      <c r="E103" s="108" t="inlineStr">
        <is>
          <t>Vrij | X</t>
        </is>
      </c>
      <c r="F103" s="108" t="inlineStr">
        <is>
          <t>Balans | Y</t>
        </is>
      </c>
      <c r="G103" s="108" t="inlineStr">
        <is>
          <t>Uitdaging | Z</t>
        </is>
      </c>
    </row>
    <row r="104" ht="13.95" customFormat="1" customHeight="1" s="128">
      <c r="A104" s="125" t="n">
        <v>12</v>
      </c>
      <c r="B104" s="105" t="inlineStr">
        <is>
          <t>Sterk</t>
        </is>
      </c>
      <c r="C104" s="11" t="n"/>
      <c r="D104" s="11" t="n"/>
      <c r="E104" s="11" t="n"/>
      <c r="F104" s="11" t="n"/>
      <c r="G104" s="11" t="n"/>
    </row>
    <row r="105" ht="13.95" customFormat="1" customHeight="1" s="128">
      <c r="A105" s="125" t="n">
        <v>11</v>
      </c>
      <c r="B105" s="102" t="n"/>
      <c r="C105" s="40" t="n"/>
      <c r="D105" s="40" t="n"/>
      <c r="E105" s="40" t="n"/>
      <c r="F105" s="40" t="n"/>
      <c r="G105" s="40" t="n"/>
    </row>
    <row r="106" ht="13.95" customFormat="1" customHeight="1" s="128">
      <c r="A106" s="125" t="n">
        <v>10</v>
      </c>
      <c r="B106" s="102" t="n"/>
      <c r="C106" s="40" t="n"/>
      <c r="D106" s="40" t="n"/>
      <c r="E106" s="40" t="n"/>
      <c r="F106" s="40" t="n"/>
      <c r="G106" s="40" t="n"/>
    </row>
    <row r="107" ht="13.95" customFormat="1" customHeight="1" s="128">
      <c r="A107" s="125" t="n">
        <v>9</v>
      </c>
      <c r="B107" s="103" t="n"/>
      <c r="C107" s="40" t="n"/>
      <c r="D107" s="40" t="n"/>
      <c r="E107" s="40" t="n"/>
      <c r="F107" s="40" t="n"/>
      <c r="G107" s="40" t="n"/>
    </row>
    <row r="108" ht="15" customFormat="1" customHeight="1" s="128">
      <c r="A108" s="125" t="n">
        <v>8</v>
      </c>
      <c r="B108" s="105" t="inlineStr">
        <is>
          <t>Neutraal</t>
        </is>
      </c>
      <c r="C108" s="40" t="n"/>
      <c r="D108" s="40" t="n"/>
      <c r="E108" s="40" t="n"/>
      <c r="F108" s="40" t="n"/>
      <c r="G108" s="40" t="n"/>
    </row>
    <row r="109" ht="13.95" customFormat="1" customHeight="1" s="128">
      <c r="A109" s="125" t="n">
        <v>7</v>
      </c>
      <c r="B109" s="102" t="n"/>
      <c r="C109" s="40" t="n"/>
      <c r="D109" s="40" t="n"/>
      <c r="E109" s="40" t="n"/>
      <c r="F109" s="40" t="n"/>
      <c r="G109" s="40" t="n"/>
    </row>
    <row r="110" ht="13.95" customFormat="1" customHeight="1" s="128">
      <c r="A110" s="125" t="n">
        <v>6</v>
      </c>
      <c r="B110" s="102" t="n"/>
      <c r="C110" s="40" t="n"/>
      <c r="D110" s="40" t="n"/>
      <c r="E110" s="40" t="n"/>
      <c r="F110" s="40" t="n"/>
      <c r="G110" s="40" t="n"/>
    </row>
    <row r="111" ht="13.95" customFormat="1" customHeight="1" s="128">
      <c r="A111" s="125" t="n">
        <v>5</v>
      </c>
      <c r="B111" s="103" t="n"/>
      <c r="C111" s="40" t="n"/>
      <c r="D111" s="40" t="n"/>
      <c r="E111" s="40" t="n"/>
      <c r="F111" s="40" t="n"/>
      <c r="G111" s="40" t="n"/>
    </row>
    <row r="112" ht="15" customFormat="1" customHeight="1" s="128">
      <c r="A112" s="125" t="n">
        <v>4</v>
      </c>
      <c r="B112" s="105" t="inlineStr">
        <is>
          <t>Matig</t>
        </is>
      </c>
      <c r="C112" s="40" t="n"/>
      <c r="D112" s="40" t="n"/>
      <c r="E112" s="40" t="n"/>
      <c r="F112" s="40" t="n"/>
      <c r="G112" s="40" t="n"/>
    </row>
    <row r="113" ht="13.95" customFormat="1" customHeight="1" s="128">
      <c r="A113" s="125" t="n">
        <v>3</v>
      </c>
      <c r="B113" s="102" t="n"/>
      <c r="C113" s="40" t="n"/>
      <c r="D113" s="40" t="n"/>
      <c r="E113" s="40" t="n"/>
      <c r="F113" s="40" t="n"/>
      <c r="G113" s="40" t="n"/>
    </row>
    <row r="114" ht="13.95" customFormat="1" customHeight="1" s="128">
      <c r="A114" s="125" t="n">
        <v>2</v>
      </c>
      <c r="B114" s="102" t="n"/>
      <c r="C114" s="40" t="n"/>
      <c r="D114" s="40" t="n"/>
      <c r="E114" s="40" t="n"/>
      <c r="F114" s="40" t="n"/>
      <c r="G114" s="40" t="n"/>
    </row>
    <row r="115" ht="13.95" customFormat="1" customHeight="1" s="128">
      <c r="A115" s="125" t="n">
        <v>1</v>
      </c>
      <c r="B115" s="102" t="n"/>
      <c r="C115" s="40" t="n"/>
      <c r="D115" s="40" t="n"/>
      <c r="E115" s="40" t="n"/>
      <c r="F115" s="40" t="n"/>
      <c r="G115" s="40" t="n"/>
    </row>
    <row r="116" ht="13.95" customFormat="1" customHeight="1" s="128">
      <c r="A116" s="125" t="n">
        <v>0</v>
      </c>
      <c r="B116" s="103" t="n"/>
      <c r="C116" s="40" t="n"/>
      <c r="D116" s="40" t="n"/>
      <c r="E116" s="40" t="n"/>
      <c r="F116" s="40" t="n"/>
      <c r="G116" s="40" t="n"/>
    </row>
    <row r="118" ht="13.95" customFormat="1" customHeight="1" s="128">
      <c r="A118" s="108" t="inlineStr">
        <is>
          <t>Loopbaananker</t>
        </is>
      </c>
      <c r="B118" s="108" t="inlineStr">
        <is>
          <t>Omschrijving</t>
        </is>
      </c>
    </row>
    <row r="119" ht="54.75" customFormat="1" customHeight="1" s="128">
      <c r="A119" s="124"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5" customFormat="1" customHeight="1" s="128">
      <c r="A120" s="124"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8">
      <c r="A121" s="124"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128">
      <c r="A122" s="124"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5" customHeight="1">
      <c r="A123" s="101" t="inlineStr">
        <is>
          <t>Uitdaging zoeken</t>
        </is>
      </c>
      <c r="B123" s="104"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D53:D55"/>
    <mergeCell ref="E39:E40"/>
    <mergeCell ref="D60:D63"/>
    <mergeCell ref="F60:F63"/>
    <mergeCell ref="E48:E49"/>
    <mergeCell ref="G48:G49"/>
    <mergeCell ref="A88:A91"/>
    <mergeCell ref="C64:C67"/>
    <mergeCell ref="D86:D87"/>
    <mergeCell ref="D68:D70"/>
    <mergeCell ref="E64:E67"/>
    <mergeCell ref="F86:F87"/>
    <mergeCell ref="C92:C95"/>
    <mergeCell ref="C32:C34"/>
    <mergeCell ref="G79:G81"/>
    <mergeCell ref="E32:E34"/>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F48:F49"/>
    <mergeCell ref="A35:A36"/>
    <mergeCell ref="B23:B25"/>
    <mergeCell ref="F79:F81"/>
    <mergeCell ref="G60:G63"/>
    <mergeCell ref="E75:E78"/>
    <mergeCell ref="G53:G55"/>
    <mergeCell ref="F64:F67"/>
    <mergeCell ref="D88:D91"/>
    <mergeCell ref="C10:C14"/>
    <mergeCell ref="B56:B57"/>
    <mergeCell ref="D7:D9"/>
    <mergeCell ref="D26:D29"/>
    <mergeCell ref="A92:A95"/>
    <mergeCell ref="F88:F91"/>
    <mergeCell ref="D82:D85"/>
    <mergeCell ref="G86:G87"/>
    <mergeCell ref="F82:F85"/>
    <mergeCell ref="B26:B27"/>
    <mergeCell ref="G68:G70"/>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D41:D42"/>
    <mergeCell ref="E86:E87"/>
    <mergeCell ref="A79:A81"/>
    <mergeCell ref="G37:G38"/>
    <mergeCell ref="F41:F42"/>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B75:B76"/>
    <mergeCell ref="F92:F95"/>
    <mergeCell ref="E96:E99"/>
    <mergeCell ref="G96:G99"/>
    <mergeCell ref="E15:E17"/>
    <mergeCell ref="G15:G17"/>
    <mergeCell ref="B21:B22"/>
    <mergeCell ref="E71:E74"/>
    <mergeCell ref="G18:G20"/>
    <mergeCell ref="G71:G74"/>
    <mergeCell ref="E43:E44"/>
    <mergeCell ref="D15:D17"/>
    <mergeCell ref="G43:G44"/>
    <mergeCell ref="B62:B63"/>
    <mergeCell ref="A21:A25"/>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F4:F6"/>
    <mergeCell ref="D10:D14"/>
    <mergeCell ref="F10:F14"/>
    <mergeCell ref="D56:D59"/>
    <mergeCell ref="D71:D74"/>
    <mergeCell ref="E68:E70"/>
    <mergeCell ref="F56:F59"/>
    <mergeCell ref="G92:G95"/>
    <mergeCell ref="E4:E6"/>
    <mergeCell ref="G75:G78"/>
    <mergeCell ref="B51:B52"/>
    <mergeCell ref="A96:A99"/>
    <mergeCell ref="F21:F25"/>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00"/>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128" min="1" max="1"/>
    <col width="81.6640625" bestFit="1" customWidth="1" style="128" min="2" max="2"/>
    <col width="5.33203125" bestFit="1" customWidth="1" style="113" min="3" max="3"/>
    <col width="37.109375" bestFit="1" customWidth="1" style="128" min="4" max="4"/>
    <col width="5.33203125" bestFit="1" customWidth="1" style="113" min="5" max="5"/>
    <col width="32.109375" bestFit="1" customWidth="1" style="128" min="6" max="6"/>
    <col width="5.33203125" bestFit="1" customWidth="1" style="113" min="7" max="7"/>
    <col width="10.44140625" bestFit="1" customWidth="1" style="113" min="8" max="8"/>
    <col width="45.33203125" bestFit="1" customWidth="1" style="113" min="9" max="9"/>
    <col width="73.6640625" customWidth="1" style="128" min="10" max="10"/>
    <col width="9.109375" customWidth="1" style="128" min="11" max="12"/>
    <col width="9.109375" customWidth="1" style="128" min="13" max="16384"/>
  </cols>
  <sheetData>
    <row r="1" ht="13.2" customHeight="1">
      <c r="A1" s="27" t="inlineStr">
        <is>
          <t xml:space="preserve">Fase 2.1 | Wat wil de cliënt? | Identificatie van Carriere Clusters </t>
        </is>
      </c>
      <c r="B1" s="112" t="inlineStr">
        <is>
          <t>Beoordeling van stelling (in zijn algemeenheid) a.h.v. onderstaande criteria:</t>
        </is>
      </c>
    </row>
    <row r="2">
      <c r="B2" s="112" t="inlineStr">
        <is>
          <t>Cliënt kan zich met de stelling identificeren: 1 | Cliënt kan zich niet met de stelling identificeren: Geen entry</t>
        </is>
      </c>
    </row>
    <row r="3">
      <c r="A3" s="122" t="inlineStr">
        <is>
          <t>Cluster</t>
        </is>
      </c>
      <c r="B3" s="60" t="inlineStr">
        <is>
          <t>Activiteiten die beschrijven wat cliënt leuk vind om te doen:</t>
        </is>
      </c>
      <c r="C3" s="108" t="inlineStr">
        <is>
          <t>Score</t>
        </is>
      </c>
      <c r="D3" s="108" t="inlineStr">
        <is>
          <t>Competenties</t>
        </is>
      </c>
      <c r="E3" s="108" t="inlineStr">
        <is>
          <t>Score</t>
        </is>
      </c>
      <c r="F3" s="108" t="inlineStr">
        <is>
          <t>Educatieve onderwerpen</t>
        </is>
      </c>
      <c r="G3" s="108" t="inlineStr">
        <is>
          <t>Score</t>
        </is>
      </c>
      <c r="H3" s="108" t="inlineStr">
        <is>
          <t>Totaal score</t>
        </is>
      </c>
      <c r="I3" s="122" t="inlineStr">
        <is>
          <t>Segment</t>
        </is>
      </c>
      <c r="J3" s="122" t="inlineStr">
        <is>
          <t>Omschrijving</t>
        </is>
      </c>
    </row>
    <row r="4">
      <c r="A4" s="131" t="n">
        <v>1</v>
      </c>
      <c r="B4" s="50" t="inlineStr">
        <is>
          <t>1. Leren hoe flora en fauna groeit en in leven blijft.</t>
        </is>
      </c>
      <c r="C4" s="18" t="n">
        <v>0</v>
      </c>
      <c r="D4" s="4" t="inlineStr">
        <is>
          <t>1. Zelfredzaam</t>
        </is>
      </c>
      <c r="E4" s="40" t="n">
        <v>0</v>
      </c>
      <c r="F4" s="4" t="inlineStr">
        <is>
          <t>1. Wiskunde</t>
        </is>
      </c>
      <c r="G4" s="40" t="n">
        <v>1</v>
      </c>
      <c r="H4" s="126">
        <f>C11+E11+G11</f>
        <v/>
      </c>
      <c r="I4" s="130" t="inlineStr">
        <is>
          <t>Landbouw, voeding en natuurlijke grondstoffen</t>
        </is>
      </c>
      <c r="J4" s="135"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v>0</v>
      </c>
      <c r="D5" s="4" t="inlineStr">
        <is>
          <t>2. Natuurliefhebber</t>
        </is>
      </c>
      <c r="E5" s="40" t="n">
        <v>0</v>
      </c>
      <c r="F5" s="4" t="inlineStr">
        <is>
          <t>2. Beheer van natuurlijke grondstoffen</t>
        </is>
      </c>
      <c r="G5" s="40" t="n">
        <v>1</v>
      </c>
      <c r="H5" s="102" t="n"/>
      <c r="I5" s="102" t="n"/>
      <c r="J5" s="102" t="n"/>
    </row>
    <row r="6">
      <c r="B6" s="50" t="inlineStr">
        <is>
          <t>3. Jagen en/of vissen.</t>
        </is>
      </c>
      <c r="C6" s="18" t="n">
        <v>0</v>
      </c>
      <c r="D6" s="4" t="inlineStr">
        <is>
          <t>3. Fysiek actief</t>
        </is>
      </c>
      <c r="E6" s="40" t="n">
        <v>0</v>
      </c>
      <c r="F6" s="4" t="inlineStr">
        <is>
          <t>3. Aardrijkskunde</t>
        </is>
      </c>
      <c r="G6" s="40" t="n">
        <v>1</v>
      </c>
      <c r="H6" s="102" t="n"/>
      <c r="I6" s="102" t="n"/>
      <c r="J6" s="102" t="n"/>
    </row>
    <row r="7">
      <c r="B7" s="50" t="inlineStr">
        <is>
          <t>4. Het beschermen van het milieu.</t>
        </is>
      </c>
      <c r="C7" s="18" t="n">
        <v>0</v>
      </c>
      <c r="D7" s="4" t="inlineStr">
        <is>
          <t>4. Planner</t>
        </is>
      </c>
      <c r="E7" s="40" t="n">
        <v>0</v>
      </c>
      <c r="F7" s="4" t="inlineStr">
        <is>
          <t>4. Scheikunde</t>
        </is>
      </c>
      <c r="G7" s="40" t="n">
        <v>1</v>
      </c>
      <c r="H7" s="102" t="n"/>
      <c r="I7" s="102" t="n"/>
      <c r="J7" s="102" t="n"/>
    </row>
    <row r="8">
      <c r="B8" s="50" t="inlineStr">
        <is>
          <t>5. Buiten zijn in allerlei weersomstandigheden.</t>
        </is>
      </c>
      <c r="C8" s="18" t="n">
        <v>0</v>
      </c>
      <c r="D8" s="4" t="inlineStr">
        <is>
          <t>5. Creatieve probleemoplosser</t>
        </is>
      </c>
      <c r="E8" s="40" t="n">
        <v>0</v>
      </c>
      <c r="F8" s="39" t="inlineStr">
        <is>
          <t>5. Landbouw</t>
        </is>
      </c>
      <c r="G8" s="40" t="n">
        <v>1</v>
      </c>
      <c r="H8" s="102" t="n"/>
      <c r="I8" s="102" t="n"/>
      <c r="J8" s="102" t="n"/>
    </row>
    <row r="9">
      <c r="B9" s="50" t="inlineStr">
        <is>
          <t>6. Plannen, budgetteren en registraties bijhouden.</t>
        </is>
      </c>
      <c r="C9" s="18" t="n">
        <v>0</v>
      </c>
      <c r="D9" s="1" t="n"/>
      <c r="E9" s="40" t="n"/>
      <c r="F9" s="1" t="n"/>
      <c r="G9" s="40" t="n"/>
      <c r="H9" s="102" t="n"/>
      <c r="I9" s="102" t="n"/>
      <c r="J9" s="102" t="n"/>
    </row>
    <row r="10">
      <c r="B10" s="50" t="inlineStr">
        <is>
          <t>7. Het bedienen van machines en deze in goede conditie houden.</t>
        </is>
      </c>
      <c r="C10" s="18" t="n">
        <v>0</v>
      </c>
      <c r="D10" s="1" t="n"/>
      <c r="E10" s="40" t="n"/>
      <c r="F10" s="1" t="n"/>
      <c r="G10" s="40" t="n"/>
      <c r="H10" s="103" t="n"/>
      <c r="I10" s="103" t="n"/>
      <c r="J10" s="103" t="n"/>
    </row>
    <row r="11" ht="14.4" customFormat="1" customHeight="1" s="133">
      <c r="A11" s="73" t="n"/>
      <c r="B11" s="62" t="n"/>
      <c r="C11" s="125">
        <f>C4+C5+C6+C7+C8+C9+C10</f>
        <v/>
      </c>
      <c r="D11" s="64" t="n"/>
      <c r="E11" s="125">
        <f>E4+E5+E6+E7+E8+E9+E10</f>
        <v/>
      </c>
      <c r="F11" s="64" t="n"/>
      <c r="G11" s="125">
        <f>G4+G5+G6+G7+G8+G9+G10</f>
        <v/>
      </c>
      <c r="H11" s="132" t="n"/>
      <c r="J11" s="100" t="n"/>
    </row>
    <row r="12">
      <c r="A12" s="131" t="n">
        <v>2</v>
      </c>
      <c r="B12" s="50" t="inlineStr">
        <is>
          <t>1. Het lezen en volgen van blauwdrukken en/of instructies.</t>
        </is>
      </c>
      <c r="C12" s="40" t="n">
        <v>0</v>
      </c>
      <c r="D12" s="4" t="inlineStr">
        <is>
          <t>1. Nieuwsgierig</t>
        </is>
      </c>
      <c r="E12" s="40" t="n">
        <v>0</v>
      </c>
      <c r="F12" s="4" t="inlineStr">
        <is>
          <t>1. Calculeren</t>
        </is>
      </c>
      <c r="G12" s="40" t="n">
        <v>1</v>
      </c>
      <c r="H12" s="134">
        <f>C19+E19+G19</f>
        <v/>
      </c>
      <c r="I12" s="130" t="inlineStr">
        <is>
          <t>Architectuur en constructie</t>
        </is>
      </c>
      <c r="J12" s="135" t="inlineStr">
        <is>
          <t>Carrières bij het ontwerpen, plannen, beheren, bouwen en behoud van de gebouwde omgeving.</t>
        </is>
      </c>
    </row>
    <row r="13">
      <c r="B13" s="50" t="inlineStr">
        <is>
          <t>2. Inbeelden hoe een afgewerkt product eruit zal zien.</t>
        </is>
      </c>
      <c r="C13" s="40" t="n">
        <v>0</v>
      </c>
      <c r="D13" s="4" t="inlineStr">
        <is>
          <t>2. Het verstrekken van duidelijke instructies</t>
        </is>
      </c>
      <c r="E13" s="40" t="n">
        <v>0</v>
      </c>
      <c r="F13" s="4" t="inlineStr">
        <is>
          <t>2. Technisch tekenen</t>
        </is>
      </c>
      <c r="G13" s="40" t="n">
        <v>1</v>
      </c>
      <c r="H13" s="102" t="n"/>
      <c r="I13" s="102" t="n"/>
      <c r="J13" s="102" t="n"/>
    </row>
    <row r="14">
      <c r="B14" s="50" t="inlineStr">
        <is>
          <t>3. Werken met de handen.</t>
        </is>
      </c>
      <c r="C14" s="40" t="n">
        <v>0</v>
      </c>
      <c r="D14" s="4" t="inlineStr">
        <is>
          <t>3. Aandacht besteden aan details</t>
        </is>
      </c>
      <c r="E14" s="40" t="n">
        <v>0</v>
      </c>
      <c r="F14" s="4" t="inlineStr">
        <is>
          <t>3. Exacte wetenschappen</t>
        </is>
      </c>
      <c r="G14" s="40" t="n">
        <v>1</v>
      </c>
      <c r="H14" s="102" t="n"/>
      <c r="I14" s="102" t="n"/>
      <c r="J14" s="102" t="n"/>
    </row>
    <row r="15">
      <c r="B15" s="50" t="inlineStr">
        <is>
          <t>4. Het uitvoeren van werkzaamheden die nauwkeurige resultaten vereisen.</t>
        </is>
      </c>
      <c r="C15" s="40" t="n">
        <v>0</v>
      </c>
      <c r="D15" s="4" t="inlineStr">
        <is>
          <t>4. Goed in het visualiseren van mogelijkheden</t>
        </is>
      </c>
      <c r="E15" s="40" t="n">
        <v>0</v>
      </c>
      <c r="F15" s="4" t="inlineStr">
        <is>
          <t>4. Architectuur</t>
        </is>
      </c>
      <c r="G15" s="40" t="n">
        <v>1</v>
      </c>
      <c r="H15" s="102" t="n"/>
      <c r="I15" s="102" t="n"/>
      <c r="J15" s="102" t="n"/>
    </row>
    <row r="16">
      <c r="B16" s="50" t="inlineStr">
        <is>
          <t>5. Het oplossen van technische problemen.</t>
        </is>
      </c>
      <c r="C16" s="40" t="n">
        <v>0</v>
      </c>
      <c r="D16" s="4" t="inlineStr">
        <is>
          <t>5. Geduldig en persistent</t>
        </is>
      </c>
      <c r="E16" s="40" t="n">
        <v>0</v>
      </c>
      <c r="F16" s="136" t="inlineStr">
        <is>
          <t xml:space="preserve">5. Elektrische warmtebronnen,
Airconditioning en koeltechniek
</t>
        </is>
      </c>
      <c r="G16" s="40" t="n">
        <v>1</v>
      </c>
      <c r="H16" s="102" t="n"/>
      <c r="I16" s="102" t="n"/>
      <c r="J16" s="102" t="n"/>
    </row>
    <row r="17">
      <c r="B17" s="50" t="inlineStr">
        <is>
          <t>6. Het bezoeken en onderzoeken van mooie, historische en/of interessante gebouwen.</t>
        </is>
      </c>
      <c r="C17" s="40" t="n">
        <v>0</v>
      </c>
      <c r="D17" s="4" t="n"/>
      <c r="E17" s="40" t="n"/>
      <c r="F17" s="103" t="n"/>
      <c r="G17" s="40" t="n"/>
      <c r="H17" s="102" t="n"/>
      <c r="I17" s="102" t="n"/>
      <c r="J17" s="102" t="n"/>
    </row>
    <row r="18">
      <c r="B18" s="50" t="inlineStr">
        <is>
          <t>7. Het opvolgen van logische en stapsgewijze procedures.</t>
        </is>
      </c>
      <c r="C18" s="40" t="n">
        <v>0</v>
      </c>
      <c r="D18" s="4" t="n"/>
      <c r="E18" s="40" t="n"/>
      <c r="F18" s="4" t="n"/>
      <c r="G18" s="40" t="n"/>
      <c r="H18" s="103" t="n"/>
      <c r="I18" s="103" t="n"/>
      <c r="J18" s="103" t="n"/>
    </row>
    <row r="19" ht="14.4" customFormat="1" customHeight="1" s="133">
      <c r="A19" s="73" t="n"/>
      <c r="B19" s="62" t="n"/>
      <c r="C19" s="125">
        <f>C12+C13+C14+C15+C16+C17+C18</f>
        <v/>
      </c>
      <c r="D19" s="64" t="n"/>
      <c r="E19" s="125">
        <f>E12+E13+E14+E15+E16+E17+E18</f>
        <v/>
      </c>
      <c r="F19" s="65" t="n"/>
      <c r="G19" s="125">
        <f>G12+G13+G14+G15+G16+G17+G18</f>
        <v/>
      </c>
      <c r="H19" s="132" t="n"/>
      <c r="J19" s="100" t="n"/>
    </row>
    <row r="20">
      <c r="A20" s="131" t="n">
        <v>3</v>
      </c>
      <c r="B20" s="50" t="inlineStr">
        <is>
          <t>1. Het gebruik van verbeeldingskracht om informatie naar anderen te communiceren.</t>
        </is>
      </c>
      <c r="C20" s="40" t="n">
        <v>0</v>
      </c>
      <c r="D20" s="4" t="inlineStr">
        <is>
          <t>1. Creatief en fantasierijk</t>
        </is>
      </c>
      <c r="E20" s="40" t="n">
        <v>0</v>
      </c>
      <c r="F20" s="4" t="inlineStr">
        <is>
          <t>1. Kunst en grafisch ontwerp</t>
        </is>
      </c>
      <c r="G20" s="40" t="n">
        <v>0</v>
      </c>
      <c r="H20" s="134">
        <f>C27+E27+G27</f>
        <v/>
      </c>
      <c r="I20" s="130" t="inlineStr">
        <is>
          <t>Kunst, audio- visuele technologie en communicatie</t>
        </is>
      </c>
      <c r="J20" s="135" t="inlineStr">
        <is>
          <t>Ontwerpen, produceren, vertonen, uitvoeren, schrijven en publiceren van multimedia-inhoud waaronder visuele en podiumkunsten, design, journalistiek en entertainmentdiensten.</t>
        </is>
      </c>
    </row>
    <row r="21">
      <c r="B21" s="50" t="inlineStr">
        <is>
          <t>2. Klaar staan voor anderen.</t>
        </is>
      </c>
      <c r="C21" s="40" t="n">
        <v>0</v>
      </c>
      <c r="D21" s="4" t="inlineStr">
        <is>
          <t>2. Goede communicator</t>
        </is>
      </c>
      <c r="E21" s="40" t="n">
        <v>0</v>
      </c>
      <c r="F21" s="4" t="inlineStr">
        <is>
          <t>2. Muziek</t>
        </is>
      </c>
      <c r="G21" s="40" t="n">
        <v>0</v>
      </c>
      <c r="H21" s="102" t="n"/>
      <c r="I21" s="102" t="n"/>
      <c r="J21" s="102" t="n"/>
    </row>
    <row r="22">
      <c r="B22" s="50" t="inlineStr">
        <is>
          <t>3. Lezen en schrijven.</t>
        </is>
      </c>
      <c r="C22" s="40" t="n">
        <v>0</v>
      </c>
      <c r="D22" s="4" t="inlineStr">
        <is>
          <t>3. Benieuwd naar nieuwe technologie</t>
        </is>
      </c>
      <c r="E22" s="40" t="n">
        <v>0</v>
      </c>
      <c r="F22" s="4" t="inlineStr">
        <is>
          <t>3. Spraak en drama</t>
        </is>
      </c>
      <c r="G22" s="40" t="n">
        <v>0</v>
      </c>
      <c r="H22" s="102" t="n"/>
      <c r="I22" s="102" t="n"/>
      <c r="J22" s="102" t="n"/>
    </row>
    <row r="23">
      <c r="B23" s="50" t="inlineStr">
        <is>
          <t>4. Het bespelen van een muziekinstrument.</t>
        </is>
      </c>
      <c r="C23" s="40" t="n">
        <v>0</v>
      </c>
      <c r="D23" s="4" t="inlineStr">
        <is>
          <t>4. Symphatisch en emphatisch</t>
        </is>
      </c>
      <c r="E23" s="40" t="n">
        <v>0</v>
      </c>
      <c r="F23" s="4" t="inlineStr">
        <is>
          <t>4. Journalistiek en literatuur</t>
        </is>
      </c>
      <c r="G23" s="40" t="n">
        <v>0</v>
      </c>
      <c r="H23" s="102" t="n"/>
      <c r="I23" s="102" t="n"/>
      <c r="J23" s="102" t="n"/>
    </row>
    <row r="24">
      <c r="B24" s="50" t="inlineStr">
        <is>
          <t>5. Het uitvoeren van creatieve en/of artistieke activiteiten.</t>
        </is>
      </c>
      <c r="C24" s="40" t="n">
        <v>0</v>
      </c>
      <c r="D24" s="4" t="inlineStr">
        <is>
          <t>5. Bepalend en vasthoudend</t>
        </is>
      </c>
      <c r="E24" s="40" t="n">
        <v>0</v>
      </c>
      <c r="F24" s="4" t="inlineStr">
        <is>
          <t>5. Audiovisuele technologie</t>
        </is>
      </c>
      <c r="G24" s="40" t="n">
        <v>0</v>
      </c>
      <c r="H24" s="102" t="n"/>
      <c r="I24" s="102" t="n"/>
      <c r="J24" s="102" t="n"/>
    </row>
    <row r="25">
      <c r="B25" s="50" t="inlineStr">
        <is>
          <t>6. Het gebruik van video- en opnametechnologie.</t>
        </is>
      </c>
      <c r="C25" s="40" t="n">
        <v>0</v>
      </c>
      <c r="D25" s="4" t="n"/>
      <c r="E25" s="40" t="n"/>
      <c r="F25" s="5" t="n"/>
      <c r="G25" s="40" t="n"/>
      <c r="H25" s="102" t="n"/>
      <c r="I25" s="102" t="n"/>
      <c r="J25" s="102" t="n"/>
    </row>
    <row r="26">
      <c r="B26" s="50" t="inlineStr">
        <is>
          <t>7. Het ontwerpen van brochures en posters.</t>
        </is>
      </c>
      <c r="C26" s="40" t="n">
        <v>0</v>
      </c>
      <c r="D26" s="4" t="n"/>
      <c r="E26" s="40" t="n"/>
      <c r="F26" s="1" t="n"/>
      <c r="G26" s="40" t="n"/>
      <c r="H26" s="103" t="n"/>
      <c r="I26" s="103" t="n"/>
      <c r="J26" s="103" t="n"/>
    </row>
    <row r="27" ht="14.4" customFormat="1" customHeight="1" s="133">
      <c r="A27" s="73" t="n"/>
      <c r="B27" s="62" t="n"/>
      <c r="C27" s="125">
        <f>C20+C21+C22+C23+C24+C25+C26</f>
        <v/>
      </c>
      <c r="D27" s="66" t="n"/>
      <c r="E27" s="125">
        <f>E20+E21+E22+E23+E24+E25+E26</f>
        <v/>
      </c>
      <c r="F27" s="64" t="n"/>
      <c r="G27" s="125">
        <f>G20+G21+G22+G23+G24+G25+G26</f>
        <v/>
      </c>
      <c r="H27" s="132" t="n"/>
      <c r="J27" s="100" t="n"/>
    </row>
    <row r="28">
      <c r="A28" s="131" t="n">
        <v>4</v>
      </c>
      <c r="B28" s="50" t="inlineStr">
        <is>
          <t xml:space="preserve">1. Het uitvoeren van routine en/of georganiseerde activiteiten maar ook flexibel kunnen zijn. </t>
        </is>
      </c>
      <c r="C28" s="40" t="n">
        <v>0</v>
      </c>
      <c r="D28" s="4" t="inlineStr">
        <is>
          <t>1. Georganiseerd</t>
        </is>
      </c>
      <c r="E28" s="40" t="n">
        <v>0</v>
      </c>
      <c r="F28" s="4" t="inlineStr">
        <is>
          <t>1. ICT</t>
        </is>
      </c>
      <c r="G28" s="40" t="n">
        <v>1</v>
      </c>
      <c r="H28" s="134">
        <f>C35+E35+G35</f>
        <v/>
      </c>
      <c r="I28" s="130" t="inlineStr">
        <is>
          <t>Business Management en administratie</t>
        </is>
      </c>
      <c r="J28" s="135"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v>0</v>
      </c>
      <c r="D29" s="4" t="inlineStr">
        <is>
          <t>2. Praktisch en logisch</t>
        </is>
      </c>
      <c r="E29" s="40" t="n">
        <v>0</v>
      </c>
      <c r="F29" s="4" t="inlineStr">
        <is>
          <t>2. Boekhouding</t>
        </is>
      </c>
      <c r="G29" s="40" t="n">
        <v>1</v>
      </c>
      <c r="H29" s="102" t="n"/>
      <c r="I29" s="102" t="n"/>
      <c r="J29" s="102" t="n"/>
    </row>
    <row r="30">
      <c r="B30" s="50" t="inlineStr">
        <is>
          <t>3. Een leider zijn in een groep.</t>
        </is>
      </c>
      <c r="C30" s="40" t="n">
        <v>0</v>
      </c>
      <c r="D30" s="4" t="inlineStr">
        <is>
          <t>3. Geduldig</t>
        </is>
      </c>
      <c r="E30" s="40" t="n">
        <v>0</v>
      </c>
      <c r="F30" s="4" t="inlineStr">
        <is>
          <t>3. Kostprijs berekeningen</t>
        </is>
      </c>
      <c r="G30" s="40" t="n">
        <v>1</v>
      </c>
      <c r="H30" s="102" t="n"/>
      <c r="I30" s="102" t="n"/>
      <c r="J30" s="102" t="n"/>
    </row>
    <row r="31">
      <c r="B31" s="50" t="inlineStr">
        <is>
          <t>4. Zakelijk contact maken met mensen.</t>
        </is>
      </c>
      <c r="C31" s="40" t="n">
        <v>0</v>
      </c>
      <c r="D31" s="4" t="inlineStr">
        <is>
          <t>4. Tactvol</t>
        </is>
      </c>
      <c r="E31" s="40" t="n">
        <v>1</v>
      </c>
      <c r="F31" s="4" t="inlineStr">
        <is>
          <t>4. Engels</t>
        </is>
      </c>
      <c r="G31" s="40" t="n">
        <v>0</v>
      </c>
      <c r="H31" s="102" t="n"/>
      <c r="I31" s="102" t="n"/>
      <c r="J31" s="102" t="n"/>
    </row>
    <row r="32">
      <c r="B32" s="50" t="inlineStr">
        <is>
          <t>5. Werken met computerprogramma's.</t>
        </is>
      </c>
      <c r="C32" s="40" t="n">
        <v>0</v>
      </c>
      <c r="D32" s="4" t="inlineStr">
        <is>
          <t>5. Verantwoordelijk</t>
        </is>
      </c>
      <c r="E32" s="40" t="n">
        <v>0</v>
      </c>
      <c r="F32" s="39" t="inlineStr">
        <is>
          <t>5. Economie</t>
        </is>
      </c>
      <c r="G32" s="40" t="n">
        <v>1</v>
      </c>
      <c r="H32" s="102" t="n"/>
      <c r="I32" s="102" t="n"/>
      <c r="J32" s="102" t="n"/>
    </row>
    <row r="33">
      <c r="B33" s="50" t="inlineStr">
        <is>
          <t>6. Het maken van rapporten en het communiceren van ideeën.</t>
        </is>
      </c>
      <c r="C33" s="40" t="n">
        <v>0</v>
      </c>
      <c r="D33" s="1" t="n"/>
      <c r="E33" s="40" t="n"/>
      <c r="F33" s="4" t="n"/>
      <c r="G33" s="40" t="n"/>
      <c r="H33" s="102" t="n"/>
      <c r="I33" s="102" t="n"/>
      <c r="J33" s="102" t="n"/>
    </row>
    <row r="34">
      <c r="B34" s="50" t="inlineStr">
        <is>
          <t>7. Het plannen van werk en het volgen van instructies</t>
        </is>
      </c>
      <c r="C34" s="40" t="n">
        <v>0</v>
      </c>
      <c r="D34" s="1" t="n"/>
      <c r="E34" s="40" t="n"/>
      <c r="F34" s="4" t="n"/>
      <c r="G34" s="40" t="n"/>
      <c r="H34" s="103" t="n"/>
      <c r="I34" s="103" t="n"/>
      <c r="J34" s="103" t="n"/>
    </row>
    <row r="35" ht="14.4" customFormat="1" customHeight="1" s="133">
      <c r="A35" s="73" t="n"/>
      <c r="B35" s="62" t="n"/>
      <c r="C35" s="125">
        <f>C28+C29+C30+C31+C32+C33+C34</f>
        <v/>
      </c>
      <c r="D35" s="64" t="n"/>
      <c r="E35" s="125">
        <f>E28+E29+E30+E31+E32+E33+E34</f>
        <v/>
      </c>
      <c r="F35" s="66" t="n"/>
      <c r="G35" s="125">
        <f>G28+G29+G30+G31+G32+G33+G34</f>
        <v/>
      </c>
      <c r="H35" s="132" t="n"/>
      <c r="J35" s="100" t="n"/>
    </row>
    <row r="36">
      <c r="A36" s="131" t="n">
        <v>5</v>
      </c>
      <c r="B36" s="50" t="inlineStr">
        <is>
          <t>1. Communiceren met verschillende soorten mensen.</t>
        </is>
      </c>
      <c r="C36" s="40" t="n">
        <v>0</v>
      </c>
      <c r="D36" s="4" t="inlineStr">
        <is>
          <t>1. Vriendelijk</t>
        </is>
      </c>
      <c r="E36" s="40" t="n">
        <v>1</v>
      </c>
      <c r="F36" s="4" t="inlineStr">
        <is>
          <t>1. Taalvaardigheid</t>
        </is>
      </c>
      <c r="G36" s="40" t="n">
        <v>0</v>
      </c>
      <c r="H36" s="134">
        <f>C43+E43+G43</f>
        <v/>
      </c>
      <c r="I36" s="130" t="inlineStr">
        <is>
          <t>Educatie en training</t>
        </is>
      </c>
      <c r="J36" s="135" t="inlineStr">
        <is>
          <t>Planning, beheer en verstrekking van onderwijs- en opleidingsdiensten en gerelateerde ondersteuningsdiensten.</t>
        </is>
      </c>
    </row>
    <row r="37">
      <c r="B37" s="50" t="inlineStr">
        <is>
          <t>2. Anderen helpen met hun huiswerk of met het leren beheersen van nieuwe onderwerpen.</t>
        </is>
      </c>
      <c r="C37" s="40" t="n">
        <v>0</v>
      </c>
      <c r="D37" s="4" t="inlineStr">
        <is>
          <t>2. Beslisser</t>
        </is>
      </c>
      <c r="E37" s="40" t="n">
        <v>1</v>
      </c>
      <c r="F37" s="4" t="inlineStr">
        <is>
          <t>2. Sociale studies</t>
        </is>
      </c>
      <c r="G37" s="40" t="n">
        <v>0</v>
      </c>
      <c r="H37" s="102" t="n"/>
      <c r="I37" s="102" t="n"/>
      <c r="J37" s="102" t="n"/>
    </row>
    <row r="38">
      <c r="B38" s="50" t="inlineStr">
        <is>
          <t>3. Naar school gaan.</t>
        </is>
      </c>
      <c r="C38" s="40" t="n">
        <v>0</v>
      </c>
      <c r="D38" s="4" t="inlineStr">
        <is>
          <t>3. Nuttig</t>
        </is>
      </c>
      <c r="E38" s="40" t="n">
        <v>1</v>
      </c>
      <c r="F38" s="4" t="inlineStr">
        <is>
          <t>3. Pedagogiek</t>
        </is>
      </c>
      <c r="G38" s="40" t="n">
        <v>0</v>
      </c>
      <c r="H38" s="102" t="n"/>
      <c r="I38" s="102" t="n"/>
      <c r="J38" s="102" t="n"/>
    </row>
    <row r="39">
      <c r="B39" s="50" t="inlineStr">
        <is>
          <t>4. Het leiden en plannen van activiteiten voor anderen.</t>
        </is>
      </c>
      <c r="C39" s="40" t="n">
        <v>0</v>
      </c>
      <c r="D39" s="4" t="inlineStr">
        <is>
          <t>4. Innovatief en nieuwsgierig</t>
        </is>
      </c>
      <c r="E39" s="40" t="n">
        <v>1</v>
      </c>
      <c r="F39" s="4" t="inlineStr">
        <is>
          <t>4. Wetenschap</t>
        </is>
      </c>
      <c r="G39" s="40" t="n">
        <v>0</v>
      </c>
      <c r="H39" s="102" t="n"/>
      <c r="I39" s="102" t="n"/>
      <c r="J39" s="102" t="n"/>
    </row>
    <row r="40">
      <c r="B40" s="50" t="inlineStr">
        <is>
          <t>5. Het uitdragen van meerdere verantwoordelijkheden tegelijk.</t>
        </is>
      </c>
      <c r="C40" s="40" t="n">
        <v>0</v>
      </c>
      <c r="D40" s="4" t="inlineStr">
        <is>
          <t>5. Goede luisteraar</t>
        </is>
      </c>
      <c r="E40" s="40" t="n">
        <v>1</v>
      </c>
      <c r="F40" s="39" t="inlineStr">
        <is>
          <t>5. Psychologie</t>
        </is>
      </c>
      <c r="G40" s="40" t="n">
        <v>0</v>
      </c>
      <c r="H40" s="102" t="n"/>
      <c r="I40" s="102" t="n"/>
      <c r="J40" s="102" t="n"/>
    </row>
    <row r="41">
      <c r="B41" s="50" t="inlineStr">
        <is>
          <t>6. Het verkrijgen van nieuwe informatie.</t>
        </is>
      </c>
      <c r="C41" s="40" t="n">
        <v>0</v>
      </c>
      <c r="D41" s="1" t="n"/>
      <c r="E41" s="40" t="n"/>
      <c r="F41" s="1" t="n"/>
      <c r="G41" s="40" t="n"/>
      <c r="H41" s="102" t="n"/>
      <c r="I41" s="102" t="n"/>
      <c r="J41" s="102" t="n"/>
    </row>
    <row r="42">
      <c r="B42" s="50" t="inlineStr">
        <is>
          <t>7. Mensen helpen om hun uitdagingen te overwinnen.</t>
        </is>
      </c>
      <c r="C42" s="40" t="n">
        <v>0</v>
      </c>
      <c r="D42" s="1" t="n"/>
      <c r="E42" s="40" t="n"/>
      <c r="F42" s="1" t="n"/>
      <c r="G42" s="40" t="n"/>
      <c r="H42" s="103" t="n"/>
      <c r="I42" s="103" t="n"/>
      <c r="J42" s="103" t="n"/>
    </row>
    <row r="43" ht="14.4" customFormat="1" customHeight="1" s="133">
      <c r="A43" s="73" t="n"/>
      <c r="B43" s="62" t="n"/>
      <c r="C43" s="125">
        <f>C36+C37+C38+C39+C40+C41+C42</f>
        <v/>
      </c>
      <c r="D43" s="64" t="n"/>
      <c r="E43" s="125">
        <f>E36+E37+E38+E39+E40+E41+E42</f>
        <v/>
      </c>
      <c r="F43" s="64" t="n"/>
      <c r="G43" s="125">
        <f>G36+G37+G38+G39+G40+G41+G42</f>
        <v/>
      </c>
      <c r="H43" s="132" t="n"/>
      <c r="J43" s="100" t="n"/>
    </row>
    <row r="44">
      <c r="A44" s="131" t="n">
        <v>6</v>
      </c>
      <c r="B44" s="50" t="inlineStr">
        <is>
          <t>1. Werken met cijfers.</t>
        </is>
      </c>
      <c r="C44" s="40" t="n">
        <v>0</v>
      </c>
      <c r="D44" s="4" t="inlineStr">
        <is>
          <t>1. Betrouwbaar</t>
        </is>
      </c>
      <c r="E44" s="40" t="n">
        <v>1</v>
      </c>
      <c r="F44" s="4" t="inlineStr">
        <is>
          <t>1. Belastingen</t>
        </is>
      </c>
      <c r="G44" s="40" t="n">
        <v>0</v>
      </c>
      <c r="H44" s="134">
        <f>C51+E51+G51</f>
        <v/>
      </c>
      <c r="I44" s="101" t="inlineStr">
        <is>
          <t>Financiën</t>
        </is>
      </c>
      <c r="J44" s="135" t="inlineStr">
        <is>
          <t>Planning, services voor financiële en investeringsplanning, bankieren, verzekeringen en bedrijfsfinancieel beheer.</t>
        </is>
      </c>
    </row>
    <row r="45">
      <c r="B45" s="50" t="inlineStr">
        <is>
          <t>2. Werken om een deadline te halen.</t>
        </is>
      </c>
      <c r="C45" s="40" t="n">
        <v>0</v>
      </c>
      <c r="D45" s="4" t="inlineStr">
        <is>
          <t>2. Orderlijk</t>
        </is>
      </c>
      <c r="E45" s="40" t="n">
        <v>1</v>
      </c>
      <c r="F45" s="4" t="inlineStr">
        <is>
          <t>2. Wiskunde</t>
        </is>
      </c>
      <c r="G45" s="40" t="n">
        <v>0</v>
      </c>
      <c r="H45" s="102" t="n"/>
      <c r="I45" s="102" t="n"/>
      <c r="J45" s="102" t="n"/>
    </row>
    <row r="46">
      <c r="B46" s="50" t="inlineStr">
        <is>
          <t>3. Het maken van voorspellingen op basis van bestaande feiten.</t>
        </is>
      </c>
      <c r="C46" s="40" t="n">
        <v>0</v>
      </c>
      <c r="D46" s="4" t="inlineStr">
        <is>
          <t>3. Zelfverzekerd</t>
        </is>
      </c>
      <c r="E46" s="40" t="n">
        <v>1</v>
      </c>
      <c r="F46" s="4" t="inlineStr">
        <is>
          <t>3. Economie</t>
        </is>
      </c>
      <c r="G46" s="40" t="n">
        <v>0</v>
      </c>
      <c r="H46" s="102" t="n"/>
      <c r="I46" s="102" t="n"/>
      <c r="J46" s="102" t="n"/>
    </row>
    <row r="47">
      <c r="B47" s="50" t="inlineStr">
        <is>
          <t>4. Zorgen voor een kader van regels en procedures.</t>
        </is>
      </c>
      <c r="C47" s="40" t="n">
        <v>0</v>
      </c>
      <c r="D47" s="4" t="inlineStr">
        <is>
          <t>4. Logisch</t>
        </is>
      </c>
      <c r="E47" s="40" t="n">
        <v>1</v>
      </c>
      <c r="F47" s="4" t="inlineStr">
        <is>
          <t>4. Financiële administratie</t>
        </is>
      </c>
      <c r="G47" s="40" t="n">
        <v>0</v>
      </c>
      <c r="H47" s="102" t="n"/>
      <c r="I47" s="102" t="n"/>
      <c r="J47" s="102" t="n"/>
    </row>
    <row r="48">
      <c r="B48" s="50" t="inlineStr">
        <is>
          <t>5. Het analyseren en interpreteren van financiële informatie voor anderen.</t>
        </is>
      </c>
      <c r="C48" s="40" t="n">
        <v>0</v>
      </c>
      <c r="D48" s="4" t="inlineStr">
        <is>
          <t>5. Methodisch en efficiënt</t>
        </is>
      </c>
      <c r="E48" s="40" t="n">
        <v>1</v>
      </c>
      <c r="F48" s="5" t="inlineStr">
        <is>
          <t>5. Ondernemingsrecht</t>
        </is>
      </c>
      <c r="G48" s="40" t="n">
        <v>0</v>
      </c>
      <c r="H48" s="102" t="n"/>
      <c r="I48" s="102" t="n"/>
      <c r="J48" s="102" t="n"/>
    </row>
    <row r="49">
      <c r="B49" s="50" t="inlineStr">
        <is>
          <t>6. Het met nauwkeurigheid en betrouwbaarheid behandelen van financiën.</t>
        </is>
      </c>
      <c r="C49" s="40" t="n">
        <v>0</v>
      </c>
      <c r="D49" s="1" t="n"/>
      <c r="E49" s="40" t="n"/>
      <c r="F49" s="5" t="n"/>
      <c r="G49" s="40" t="n"/>
      <c r="H49" s="102" t="n"/>
      <c r="I49" s="102" t="n"/>
      <c r="J49" s="102" t="n"/>
    </row>
    <row r="50">
      <c r="B50" s="50" t="inlineStr">
        <is>
          <t xml:space="preserve">7. Trots zijn op de manier waarop je je kleedt en presenteert. </t>
        </is>
      </c>
      <c r="C50" s="40" t="n">
        <v>0</v>
      </c>
      <c r="D50" s="1" t="n"/>
      <c r="E50" s="40" t="n"/>
      <c r="F50" s="1" t="n"/>
      <c r="G50" s="40" t="n"/>
      <c r="H50" s="103" t="n"/>
      <c r="I50" s="103" t="n"/>
      <c r="J50" s="103" t="n"/>
    </row>
    <row r="51" ht="14.4" customFormat="1" customHeight="1" s="133">
      <c r="A51" s="73" t="n"/>
      <c r="B51" s="62" t="n"/>
      <c r="C51" s="125">
        <f>C44+C45+C46+C47+C48+C49+C50</f>
        <v/>
      </c>
      <c r="D51" s="64" t="n"/>
      <c r="E51" s="125">
        <f>E44+E45+E46+E47+E48+E49+E50</f>
        <v/>
      </c>
      <c r="F51" s="64" t="n"/>
      <c r="G51" s="125">
        <f>G44+G45+G46+G47+G48+G49+G50</f>
        <v/>
      </c>
      <c r="H51" s="132" t="n"/>
      <c r="J51" s="100" t="n"/>
    </row>
    <row r="52">
      <c r="A52" s="131" t="n">
        <v>7</v>
      </c>
      <c r="B52" s="50" t="inlineStr">
        <is>
          <t>1. Betrokken zijn in de politiek.</t>
        </is>
      </c>
      <c r="C52" s="40" t="n">
        <v>0</v>
      </c>
      <c r="D52" s="4" t="inlineStr">
        <is>
          <t>1. Goede communicator</t>
        </is>
      </c>
      <c r="E52" s="40" t="n">
        <v>0</v>
      </c>
      <c r="F52" s="4" t="inlineStr">
        <is>
          <t>1. Politiek</t>
        </is>
      </c>
      <c r="G52" s="40" t="n">
        <v>0</v>
      </c>
      <c r="H52" s="134">
        <f>C59+E59+G59</f>
        <v/>
      </c>
      <c r="I52" s="130" t="inlineStr">
        <is>
          <t>Overheid en publieke administratie</t>
        </is>
      </c>
      <c r="J52" s="135"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v>0</v>
      </c>
      <c r="D53" s="4" t="inlineStr">
        <is>
          <t>2. Concurrerend</t>
        </is>
      </c>
      <c r="E53" s="40" t="n">
        <v>0</v>
      </c>
      <c r="F53" s="4" t="inlineStr">
        <is>
          <t>2. Taalvaardigheid</t>
        </is>
      </c>
      <c r="G53" s="40" t="n">
        <v>0</v>
      </c>
      <c r="H53" s="102" t="n"/>
      <c r="I53" s="102" t="n"/>
      <c r="J53" s="102" t="n"/>
    </row>
    <row r="54">
      <c r="B54" s="50" t="inlineStr">
        <is>
          <t xml:space="preserve">3. Het plannen van activiteiten en samenwerken met anderen. </t>
        </is>
      </c>
      <c r="C54" s="40" t="n">
        <v>0</v>
      </c>
      <c r="D54" s="4" t="inlineStr">
        <is>
          <t>3. Service georiënteerd</t>
        </is>
      </c>
      <c r="E54" s="40" t="n">
        <v>0</v>
      </c>
      <c r="F54" s="4" t="inlineStr">
        <is>
          <t>3. Nederlandse geschiedenis</t>
        </is>
      </c>
      <c r="G54" s="40" t="n">
        <v>1</v>
      </c>
      <c r="H54" s="102" t="n"/>
      <c r="I54" s="102" t="n"/>
      <c r="J54" s="102" t="n"/>
    </row>
    <row r="55">
      <c r="B55" s="50" t="inlineStr">
        <is>
          <t>4. Werken met details.</t>
        </is>
      </c>
      <c r="C55" s="40" t="n">
        <v>0</v>
      </c>
      <c r="D55" s="4" t="inlineStr">
        <is>
          <t>4. Goed georganiseerd</t>
        </is>
      </c>
      <c r="E55" s="40" t="n">
        <v>0</v>
      </c>
      <c r="F55" s="4" t="inlineStr">
        <is>
          <t>4. Calculeren</t>
        </is>
      </c>
      <c r="G55" s="40" t="n">
        <v>0</v>
      </c>
      <c r="H55" s="102" t="n"/>
      <c r="I55" s="102" t="n"/>
      <c r="J55" s="102" t="n"/>
    </row>
    <row r="56">
      <c r="B56" s="50" t="inlineStr">
        <is>
          <t>5. Het uitvoeren van taken die vaak kunnen veranderen.</t>
        </is>
      </c>
      <c r="C56" s="40" t="n">
        <v>0</v>
      </c>
      <c r="D56" s="4" t="inlineStr">
        <is>
          <t>5. Probleemoplosser</t>
        </is>
      </c>
      <c r="E56" s="40" t="n">
        <v>0</v>
      </c>
      <c r="F56" s="39" t="inlineStr">
        <is>
          <t>5. Vreemde talen</t>
        </is>
      </c>
      <c r="G56" s="40" t="n">
        <v>0</v>
      </c>
      <c r="H56" s="102" t="n"/>
      <c r="I56" s="102" t="n"/>
      <c r="J56" s="102" t="n"/>
    </row>
    <row r="57">
      <c r="B57" s="50" t="inlineStr">
        <is>
          <t xml:space="preserve">6. Het analyseren en interpreteren van informatie voor anderen. </t>
        </is>
      </c>
      <c r="C57" s="40" t="n">
        <v>0</v>
      </c>
      <c r="D57" s="1" t="n"/>
      <c r="E57" s="40" t="n"/>
      <c r="F57" s="1" t="n"/>
      <c r="G57" s="40" t="n"/>
      <c r="H57" s="102" t="n"/>
      <c r="I57" s="102" t="n"/>
      <c r="J57" s="102" t="n"/>
    </row>
    <row r="58">
      <c r="B58" s="50" t="inlineStr">
        <is>
          <t xml:space="preserve">7. Reizen en nieuwe dingen ontdekken. </t>
        </is>
      </c>
      <c r="C58" s="40" t="n">
        <v>0</v>
      </c>
      <c r="D58" s="1" t="n"/>
      <c r="E58" s="40" t="n"/>
      <c r="F58" s="1" t="n"/>
      <c r="G58" s="40" t="n"/>
      <c r="H58" s="103" t="n"/>
      <c r="I58" s="103" t="n"/>
      <c r="J58" s="103" t="n"/>
    </row>
    <row r="59" ht="14.4" customFormat="1" customHeight="1" s="133">
      <c r="A59" s="73" t="n"/>
      <c r="B59" s="62" t="n"/>
      <c r="C59" s="125">
        <f>C52+C53+C54+C55+C56+C57+C58</f>
        <v/>
      </c>
      <c r="D59" s="64" t="n"/>
      <c r="E59" s="125">
        <f>E52+E53+E54+E55+E56+E57+E58</f>
        <v/>
      </c>
      <c r="F59" s="64" t="n"/>
      <c r="G59" s="125">
        <f>G52+G53+G54+G55+G56+G57+G58</f>
        <v/>
      </c>
      <c r="H59" s="132" t="n"/>
      <c r="J59" s="100" t="n"/>
    </row>
    <row r="60">
      <c r="A60" s="131" t="n">
        <v>8</v>
      </c>
      <c r="B60" s="50" t="inlineStr">
        <is>
          <t>1. Werken onder druk.</t>
        </is>
      </c>
      <c r="C60" s="40" t="n">
        <v>0</v>
      </c>
      <c r="D60" s="4" t="inlineStr">
        <is>
          <t>1. Emphatisch en zorgzaam</t>
        </is>
      </c>
      <c r="E60" s="40" t="n">
        <v>0</v>
      </c>
      <c r="F60" s="4" t="inlineStr">
        <is>
          <t>1. Biologische wetenschappen</t>
        </is>
      </c>
      <c r="G60" s="40" t="n">
        <v>0</v>
      </c>
      <c r="H60" s="134">
        <f>C67+E67+G67</f>
        <v/>
      </c>
      <c r="I60" s="130" t="inlineStr">
        <is>
          <t>Gezondheidswetenschappen</t>
        </is>
      </c>
      <c r="J60" s="135"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v>0</v>
      </c>
      <c r="D61" s="4" t="inlineStr">
        <is>
          <t>2. Het verstrekken van duidelijke instructies</t>
        </is>
      </c>
      <c r="E61" s="40" t="n">
        <v>0</v>
      </c>
      <c r="F61" s="4" t="inlineStr">
        <is>
          <t>2. Chemie</t>
        </is>
      </c>
      <c r="G61" s="40" t="n">
        <v>0</v>
      </c>
      <c r="H61" s="102" t="n"/>
      <c r="I61" s="102" t="n"/>
      <c r="J61" s="102" t="n"/>
    </row>
    <row r="62">
      <c r="B62" s="50" t="inlineStr">
        <is>
          <t>3. Beslissingen nemen op basis van logica en informatie.</t>
        </is>
      </c>
      <c r="C62" s="40" t="n">
        <v>0</v>
      </c>
      <c r="D62" s="4" t="inlineStr">
        <is>
          <t>3. Zorgvuldig en voorzichtig</t>
        </is>
      </c>
      <c r="E62" s="40" t="n">
        <v>0</v>
      </c>
      <c r="F62" s="4" t="inlineStr">
        <is>
          <t>3. Biometrie</t>
        </is>
      </c>
      <c r="G62" s="40" t="n">
        <v>0</v>
      </c>
      <c r="H62" s="102" t="n"/>
      <c r="I62" s="102" t="n"/>
      <c r="J62" s="102" t="n"/>
    </row>
    <row r="63">
      <c r="B63" s="50" t="inlineStr">
        <is>
          <t>4. Deelnemen aan gezondheid- en wetenschaplessen.</t>
        </is>
      </c>
      <c r="C63" s="40" t="n">
        <v>0</v>
      </c>
      <c r="D63" s="4" t="inlineStr">
        <is>
          <t>4. Geduldig</t>
        </is>
      </c>
      <c r="E63" s="40" t="n">
        <v>0</v>
      </c>
      <c r="F63" s="4" t="inlineStr">
        <is>
          <t>4. Gezondheid op het werk</t>
        </is>
      </c>
      <c r="G63" s="40" t="n">
        <v>1</v>
      </c>
      <c r="H63" s="102" t="n"/>
      <c r="I63" s="102" t="n"/>
      <c r="J63" s="102" t="n"/>
    </row>
    <row r="64">
      <c r="B64" s="50" t="inlineStr">
        <is>
          <t>5. Snel reageren en rustig blijven in noodsituaties.</t>
        </is>
      </c>
      <c r="C64" s="40" t="n">
        <v>0</v>
      </c>
      <c r="D64" s="4" t="inlineStr">
        <is>
          <t>5. Goede luisteraar</t>
        </is>
      </c>
      <c r="E64" s="40" t="n">
        <v>0</v>
      </c>
      <c r="F64" s="5" t="inlineStr">
        <is>
          <t>5. Spelling en grammatica</t>
        </is>
      </c>
      <c r="G64" s="40" t="n">
        <v>0</v>
      </c>
      <c r="H64" s="102" t="n"/>
      <c r="I64" s="102" t="n"/>
      <c r="J64" s="102" t="n"/>
    </row>
    <row r="65">
      <c r="B65" s="50" t="inlineStr">
        <is>
          <t>6. Werken als lid van een team.</t>
        </is>
      </c>
      <c r="C65" s="40" t="n">
        <v>0</v>
      </c>
      <c r="D65" s="4" t="n"/>
      <c r="E65" s="40" t="n"/>
      <c r="F65" s="5" t="n"/>
      <c r="G65" s="40" t="n"/>
      <c r="H65" s="102" t="n"/>
      <c r="I65" s="102" t="n"/>
      <c r="J65" s="102" t="n"/>
    </row>
    <row r="66">
      <c r="B66" s="50" t="inlineStr">
        <is>
          <t>7. Het nauwkeurig volgen van richtlijnen en het voldoen aan strikte normen voor nauwkeurigheid.</t>
        </is>
      </c>
      <c r="C66" s="40" t="n">
        <v>0</v>
      </c>
      <c r="D66" s="4" t="n"/>
      <c r="E66" s="40" t="n"/>
      <c r="F66" s="1" t="n"/>
      <c r="G66" s="40" t="n"/>
      <c r="H66" s="103" t="n"/>
      <c r="I66" s="103" t="n"/>
      <c r="J66" s="103" t="n"/>
    </row>
    <row r="67" ht="14.4" customFormat="1" customHeight="1" s="133">
      <c r="A67" s="73" t="n"/>
      <c r="B67" s="62" t="n"/>
      <c r="C67" s="125">
        <f>C60+C61+C62+C63+C64+C65+C66</f>
        <v/>
      </c>
      <c r="D67" s="64" t="n"/>
      <c r="E67" s="125">
        <f>E60+E61+E62+E63+E64+E65+E66</f>
        <v/>
      </c>
      <c r="F67" s="64" t="n"/>
      <c r="G67" s="125">
        <f>G60+G61+G62+G63+G64+G65+G66</f>
        <v/>
      </c>
      <c r="H67" s="132" t="n"/>
      <c r="J67" s="100" t="n"/>
    </row>
    <row r="68">
      <c r="A68" s="131" t="n">
        <v>9</v>
      </c>
      <c r="B68" s="50" t="inlineStr">
        <is>
          <t>1. Onderzoek doen naar nieuwe plaatsen en activiteiten.</t>
        </is>
      </c>
      <c r="C68" s="40" t="n">
        <v>0</v>
      </c>
      <c r="D68" s="4" t="inlineStr">
        <is>
          <t>1. Tactvol</t>
        </is>
      </c>
      <c r="E68" s="40" t="n">
        <v>0</v>
      </c>
      <c r="F68" s="4" t="inlineStr">
        <is>
          <t>1. Nederlands</t>
        </is>
      </c>
      <c r="G68" s="40" t="n">
        <v>0</v>
      </c>
      <c r="H68" s="134">
        <f>C75+E75+G75</f>
        <v/>
      </c>
      <c r="I68" s="130" t="inlineStr">
        <is>
          <t>Hospitality en toerisme</t>
        </is>
      </c>
      <c r="J68" s="135"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v>0</v>
      </c>
      <c r="D69" s="4" t="inlineStr">
        <is>
          <t>2. Zelfgemotiveerd</t>
        </is>
      </c>
      <c r="E69" s="40" t="n">
        <v>0</v>
      </c>
      <c r="F69" s="4" t="inlineStr">
        <is>
          <t>2. Vreemde talen</t>
        </is>
      </c>
      <c r="G69" s="40" t="n">
        <v>0</v>
      </c>
      <c r="H69" s="102" t="n"/>
      <c r="I69" s="102" t="n"/>
      <c r="J69" s="102" t="n"/>
    </row>
    <row r="70">
      <c r="B70" s="50" t="inlineStr">
        <is>
          <t>3. Het organiseren van activiteiten waarbij andere mensen zich amuseren.</t>
        </is>
      </c>
      <c r="C70" s="40" t="n">
        <v>0</v>
      </c>
      <c r="D70" s="4" t="inlineStr">
        <is>
          <t>3. Samenwerkend</t>
        </is>
      </c>
      <c r="E70" s="40" t="n">
        <v>0</v>
      </c>
      <c r="F70" s="4" t="inlineStr">
        <is>
          <t>3. Sociale wetenschappen</t>
        </is>
      </c>
      <c r="G70" s="40" t="n">
        <v>1</v>
      </c>
      <c r="H70" s="102" t="n"/>
      <c r="I70" s="102" t="n"/>
      <c r="J70" s="102" t="n"/>
    </row>
    <row r="71">
      <c r="B71" s="50" t="inlineStr">
        <is>
          <t>4. Het hanteren van een flexibel schema.</t>
        </is>
      </c>
      <c r="C71" s="40" t="n">
        <v>0</v>
      </c>
      <c r="D71" s="4" t="inlineStr">
        <is>
          <t>4. Ondernemend</t>
        </is>
      </c>
      <c r="E71" s="40" t="n">
        <v>0</v>
      </c>
      <c r="F71" s="4" t="inlineStr">
        <is>
          <t>4. Marketing</t>
        </is>
      </c>
      <c r="G71" s="40" t="n">
        <v>0</v>
      </c>
      <c r="H71" s="102" t="n"/>
      <c r="I71" s="102" t="n"/>
      <c r="J71" s="102" t="n"/>
    </row>
    <row r="72">
      <c r="B72" s="50" t="inlineStr">
        <is>
          <t xml:space="preserve">5. Mensen helpen om besluiten te nemen. </t>
        </is>
      </c>
      <c r="C72" s="40" t="n">
        <v>0</v>
      </c>
      <c r="D72" s="4" t="inlineStr">
        <is>
          <t>5. Tolerant</t>
        </is>
      </c>
      <c r="E72" s="40" t="n">
        <v>0</v>
      </c>
      <c r="F72" s="5" t="inlineStr">
        <is>
          <t>5. Voeding</t>
        </is>
      </c>
      <c r="G72" s="40" t="n">
        <v>0</v>
      </c>
      <c r="H72" s="102" t="n"/>
      <c r="I72" s="102" t="n"/>
      <c r="J72" s="102" t="n"/>
    </row>
    <row r="73">
      <c r="B73" s="50" t="inlineStr">
        <is>
          <t>6. Eenvoudig, tactvol en hoffelijk communiceren.</t>
        </is>
      </c>
      <c r="C73" s="40" t="n">
        <v>0</v>
      </c>
      <c r="D73" s="1" t="n"/>
      <c r="E73" s="40" t="n"/>
      <c r="F73" s="1" t="n"/>
      <c r="G73" s="40" t="n"/>
      <c r="H73" s="102" t="n"/>
      <c r="I73" s="102" t="n"/>
      <c r="J73" s="102" t="n"/>
    </row>
    <row r="74">
      <c r="B74" s="50" t="inlineStr">
        <is>
          <t>7. Informatie verzamelen over andere culturen.</t>
        </is>
      </c>
      <c r="C74" s="40" t="n">
        <v>0</v>
      </c>
      <c r="D74" s="1" t="n"/>
      <c r="E74" s="40" t="n"/>
      <c r="F74" s="1" t="n"/>
      <c r="G74" s="40" t="n"/>
      <c r="H74" s="103" t="n"/>
      <c r="I74" s="103" t="n"/>
      <c r="J74" s="103" t="n"/>
    </row>
    <row r="75" ht="14.4" customFormat="1" customHeight="1" s="133">
      <c r="A75" s="73" t="n"/>
      <c r="B75" s="62" t="n"/>
      <c r="C75" s="125">
        <f>C68+C69+C70+C71+C72+C73+C74</f>
        <v/>
      </c>
      <c r="D75" s="64" t="n"/>
      <c r="E75" s="125">
        <f>E68+E69+E70+E71+E72+E73+E74</f>
        <v/>
      </c>
      <c r="F75" s="64" t="n"/>
      <c r="G75" s="125">
        <f>G68+G69+G70+G71+G72+G73+G74</f>
        <v/>
      </c>
      <c r="H75" s="132" t="n"/>
      <c r="J75" s="100" t="n"/>
    </row>
    <row r="76">
      <c r="A76" s="131" t="n">
        <v>10</v>
      </c>
      <c r="B76" s="50" t="inlineStr">
        <is>
          <t>1. Zorgen voor mensen, hun behoeften en hun problemen.</t>
        </is>
      </c>
      <c r="C76" s="40" t="n">
        <v>0</v>
      </c>
      <c r="D76" s="4" t="inlineStr">
        <is>
          <t xml:space="preserve">1. Goede communicator </t>
        </is>
      </c>
      <c r="E76" s="40" t="n">
        <v>0</v>
      </c>
      <c r="F76" s="4" t="inlineStr">
        <is>
          <t>1. Taalvaardigheid</t>
        </is>
      </c>
      <c r="G76" s="40" t="n">
        <v>0</v>
      </c>
      <c r="H76" s="134">
        <f>C83+E83+G83</f>
        <v/>
      </c>
      <c r="I76" s="130" t="inlineStr">
        <is>
          <t>Humanitaire dienstverlening</t>
        </is>
      </c>
      <c r="J76" s="135" t="inlineStr">
        <is>
          <t>Individuen voorbereiden op een baan in loopbaantrajecten en betrekking hebben op gezinnen en menselijke behoeften.</t>
        </is>
      </c>
    </row>
    <row r="77">
      <c r="B77" s="50" t="inlineStr">
        <is>
          <t>2. Deelnemen aan gemeenschapsdiensten en/of vrijwilligerswerk.</t>
        </is>
      </c>
      <c r="C77" s="40" t="n">
        <v>0</v>
      </c>
      <c r="D77" s="4" t="inlineStr">
        <is>
          <t>2. Zorgzaam</t>
        </is>
      </c>
      <c r="E77" s="40" t="n">
        <v>0</v>
      </c>
      <c r="F77" s="4" t="inlineStr">
        <is>
          <t>2. Psychologie en sociologie</t>
        </is>
      </c>
      <c r="G77" s="40" t="n">
        <v>0</v>
      </c>
      <c r="H77" s="102" t="n"/>
      <c r="I77" s="102" t="n"/>
      <c r="J77" s="102" t="n"/>
    </row>
    <row r="78">
      <c r="B78" s="50" t="inlineStr">
        <is>
          <t>3. Luisteren naar de perspectieven van anderen.</t>
        </is>
      </c>
      <c r="C78" s="40" t="n">
        <v>0</v>
      </c>
      <c r="D78" s="4" t="inlineStr">
        <is>
          <t>3. Non-materialistisch</t>
        </is>
      </c>
      <c r="E78" s="40" t="n">
        <v>0</v>
      </c>
      <c r="F78" s="4" t="inlineStr">
        <is>
          <t>3. Familie- en consumentenwetenschap</t>
        </is>
      </c>
      <c r="G78" s="40" t="n">
        <v>1</v>
      </c>
      <c r="H78" s="102" t="n"/>
      <c r="I78" s="102" t="n"/>
      <c r="J78" s="102" t="n"/>
    </row>
    <row r="79">
      <c r="B79" s="50" t="inlineStr">
        <is>
          <t>4. Mensen helpen op hun best te zijn.</t>
        </is>
      </c>
      <c r="C79" s="40" t="n">
        <v>0</v>
      </c>
      <c r="D79" s="4" t="inlineStr">
        <is>
          <t>4. Gebruik van intuïtie en logica</t>
        </is>
      </c>
      <c r="E79" s="40" t="n">
        <v>0</v>
      </c>
      <c r="F79" s="4" t="inlineStr">
        <is>
          <t>4. Financiën</t>
        </is>
      </c>
      <c r="G79" s="40" t="n">
        <v>0</v>
      </c>
      <c r="H79" s="102" t="n"/>
      <c r="I79" s="102" t="n"/>
      <c r="J79" s="102" t="n"/>
    </row>
    <row r="80">
      <c r="B80" s="50" t="inlineStr">
        <is>
          <t>5. Werken met mensen van jong tot oud.</t>
        </is>
      </c>
      <c r="C80" s="40" t="n">
        <v>0</v>
      </c>
      <c r="D80" s="4" t="inlineStr">
        <is>
          <t>5. Niet-oordelend</t>
        </is>
      </c>
      <c r="E80" s="40" t="n">
        <v>0</v>
      </c>
      <c r="F80" s="5" t="inlineStr">
        <is>
          <t>5. Vreemde talen</t>
        </is>
      </c>
      <c r="G80" s="40" t="n">
        <v>0</v>
      </c>
      <c r="H80" s="102" t="n"/>
      <c r="I80" s="102" t="n"/>
      <c r="J80" s="102" t="n"/>
    </row>
    <row r="81">
      <c r="B81" s="50" t="inlineStr">
        <is>
          <t>6. Denken aan nieuwe manieren om dingen te doen.</t>
        </is>
      </c>
      <c r="C81" s="40" t="n">
        <v>0</v>
      </c>
      <c r="D81" s="4" t="n"/>
      <c r="E81" s="40" t="n"/>
      <c r="F81" s="4" t="n"/>
      <c r="G81" s="40" t="n"/>
      <c r="H81" s="102" t="n"/>
      <c r="I81" s="102" t="n"/>
      <c r="J81" s="102" t="n"/>
    </row>
    <row r="82">
      <c r="B82" s="50" t="inlineStr">
        <is>
          <t>7. Vrienden maken met verschillende soorten mensen.</t>
        </is>
      </c>
      <c r="C82" s="40" t="n">
        <v>0</v>
      </c>
      <c r="D82" s="1" t="n"/>
      <c r="E82" s="40" t="n"/>
      <c r="F82" s="5" t="n"/>
      <c r="G82" s="40" t="n"/>
      <c r="H82" s="103" t="n"/>
      <c r="I82" s="103" t="n"/>
      <c r="J82" s="103" t="n"/>
    </row>
    <row r="83" ht="14.4" customFormat="1" customHeight="1" s="133">
      <c r="A83" s="73" t="n"/>
      <c r="B83" s="62" t="n"/>
      <c r="C83" s="125">
        <f>C76+C77+C78+C79+C80+C81+C82</f>
        <v/>
      </c>
      <c r="D83" s="64" t="n"/>
      <c r="E83" s="125">
        <f>E76+E77+E78+E79+E80+E81+E82</f>
        <v/>
      </c>
      <c r="F83" s="64" t="n"/>
      <c r="G83" s="125">
        <f>G76+G77+G78+G79+G80+G81+G82</f>
        <v/>
      </c>
      <c r="H83" s="132" t="n"/>
      <c r="J83" s="100" t="n"/>
    </row>
    <row r="84">
      <c r="A84" s="131" t="n">
        <v>11</v>
      </c>
      <c r="B84" s="50" t="inlineStr">
        <is>
          <t>1. Werken met computers.</t>
        </is>
      </c>
      <c r="C84" s="40" t="n">
        <v>0</v>
      </c>
      <c r="D84" s="4" t="inlineStr">
        <is>
          <t>1. Logische en analytische denker</t>
        </is>
      </c>
      <c r="E84" s="40" t="n">
        <v>0</v>
      </c>
      <c r="F84" s="4" t="inlineStr">
        <is>
          <t>1. Wiskunde</t>
        </is>
      </c>
      <c r="G84" s="40" t="n">
        <v>0</v>
      </c>
      <c r="H84" s="134">
        <f>C91+E91+G91</f>
        <v/>
      </c>
      <c r="I84" s="101" t="inlineStr">
        <is>
          <t>ICT</t>
        </is>
      </c>
      <c r="J84" s="135"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v>0</v>
      </c>
      <c r="D85" s="4" t="inlineStr">
        <is>
          <t>2. Helicopter view</t>
        </is>
      </c>
      <c r="E85" s="40" t="n">
        <v>0</v>
      </c>
      <c r="F85" s="4" t="inlineStr">
        <is>
          <t>2. Wetenschap</t>
        </is>
      </c>
      <c r="G85" s="40" t="n">
        <v>0</v>
      </c>
      <c r="H85" s="102" t="n"/>
      <c r="I85" s="102" t="n"/>
      <c r="J85" s="102" t="n"/>
    </row>
    <row r="86">
      <c r="B86" s="50" t="inlineStr">
        <is>
          <t>3. Het gebruiken van machines, technieken en processen.</t>
        </is>
      </c>
      <c r="C86" s="40" t="n">
        <v>0</v>
      </c>
      <c r="D86" s="4" t="inlineStr">
        <is>
          <t>3. Persistent</t>
        </is>
      </c>
      <c r="E86" s="40" t="n">
        <v>0</v>
      </c>
      <c r="F86" s="4" t="inlineStr">
        <is>
          <t xml:space="preserve">3. Computertechnologie </t>
        </is>
      </c>
      <c r="G86" s="40" t="n">
        <v>1</v>
      </c>
      <c r="H86" s="102" t="n"/>
      <c r="I86" s="102" t="n"/>
      <c r="J86" s="102" t="n"/>
    </row>
    <row r="87">
      <c r="B87" s="50" t="inlineStr">
        <is>
          <t>4. Het lezen van technische handleidingen en diagrammen en het oplossen van technische problemen.</t>
        </is>
      </c>
      <c r="C87" s="40" t="n">
        <v>0</v>
      </c>
      <c r="D87" s="4" t="inlineStr">
        <is>
          <t>4. Goede concentratievaardigheden</t>
        </is>
      </c>
      <c r="E87" s="40" t="n">
        <v>0</v>
      </c>
      <c r="F87" s="4" t="inlineStr">
        <is>
          <t>4. Communicatie</t>
        </is>
      </c>
      <c r="G87" s="40" t="n">
        <v>0</v>
      </c>
      <c r="H87" s="102" t="n"/>
      <c r="I87" s="102" t="n"/>
      <c r="J87" s="102" t="n"/>
    </row>
    <row r="88">
      <c r="B88" s="50" t="inlineStr">
        <is>
          <t>5. Aanpassen aan verandering.</t>
        </is>
      </c>
      <c r="C88" s="40" t="n">
        <v>0</v>
      </c>
      <c r="D88" s="4" t="inlineStr">
        <is>
          <t xml:space="preserve">5. Nauwkeurig </t>
        </is>
      </c>
      <c r="E88" s="40" t="n">
        <v>0</v>
      </c>
      <c r="F88" s="39" t="inlineStr">
        <is>
          <t>5. Grafisch ontwerp</t>
        </is>
      </c>
      <c r="G88" s="40" t="n">
        <v>0</v>
      </c>
      <c r="H88" s="102" t="n"/>
      <c r="I88" s="102" t="n"/>
      <c r="J88" s="102" t="n"/>
    </row>
    <row r="89">
      <c r="B89" s="50" t="inlineStr">
        <is>
          <t xml:space="preserve">6. Het spelen van videogames en uitzoeken hoe deze werken. </t>
        </is>
      </c>
      <c r="C89" s="40" t="n">
        <v>0</v>
      </c>
      <c r="D89" s="4" t="n"/>
      <c r="E89" s="40" t="n"/>
      <c r="F89" s="39" t="n"/>
      <c r="G89" s="40" t="n"/>
      <c r="H89" s="102" t="n"/>
      <c r="I89" s="102" t="n"/>
      <c r="J89" s="102" t="n"/>
    </row>
    <row r="90">
      <c r="B90" s="50" t="inlineStr">
        <is>
          <t>7. Gedurende lange perioden concentreren zonder te zijn afgeleid.</t>
        </is>
      </c>
      <c r="C90" s="40" t="n">
        <v>0</v>
      </c>
      <c r="D90" s="1" t="n"/>
      <c r="E90" s="40" t="n"/>
      <c r="F90" s="1" t="n"/>
      <c r="G90" s="40" t="n"/>
      <c r="H90" s="103" t="n"/>
      <c r="I90" s="103" t="n"/>
      <c r="J90" s="103" t="n"/>
    </row>
    <row r="91" ht="14.4" customFormat="1" customHeight="1" s="133">
      <c r="A91" s="73" t="n"/>
      <c r="B91" s="62" t="n"/>
      <c r="C91" s="125">
        <f>C84+C85+C86+C87+C88+C89+C90</f>
        <v/>
      </c>
      <c r="D91" s="64" t="n"/>
      <c r="E91" s="125">
        <f>E84+E85+E86+E87+E88+E89+E90</f>
        <v/>
      </c>
      <c r="F91" s="64" t="n"/>
      <c r="G91" s="125">
        <f>G84+G85+G86+G87+G88+G89+G90</f>
        <v/>
      </c>
      <c r="H91" s="132" t="n"/>
      <c r="J91" s="100" t="n"/>
    </row>
    <row r="92">
      <c r="A92" s="131" t="n">
        <v>12</v>
      </c>
      <c r="B92" s="50" t="inlineStr">
        <is>
          <t>1. Werken onder druk of in de aanwezigheid van gevaar.</t>
        </is>
      </c>
      <c r="C92" s="40" t="n">
        <v>0</v>
      </c>
      <c r="D92" s="4" t="inlineStr">
        <is>
          <t>1. Avontuurlijk</t>
        </is>
      </c>
      <c r="E92" s="40" t="n">
        <v>0</v>
      </c>
      <c r="F92" s="4" t="inlineStr">
        <is>
          <t>1. Taalvaardigheid</t>
        </is>
      </c>
      <c r="G92" s="40" t="n">
        <v>0</v>
      </c>
      <c r="H92" s="134">
        <f>C99+E99+G99</f>
        <v/>
      </c>
      <c r="I92" s="130" t="inlineStr">
        <is>
          <t>Publieke veiligheid en zekerheid</t>
        </is>
      </c>
      <c r="J92" s="135"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v>0</v>
      </c>
      <c r="D93" s="4" t="inlineStr">
        <is>
          <t>2. Betrouwbaar</t>
        </is>
      </c>
      <c r="E93" s="40" t="n">
        <v>0</v>
      </c>
      <c r="F93" s="4" t="inlineStr">
        <is>
          <t>2. Psychologie en sociologie</t>
        </is>
      </c>
      <c r="G93" s="40" t="n">
        <v>0</v>
      </c>
      <c r="H93" s="102" t="n"/>
      <c r="I93" s="102" t="n"/>
      <c r="J93" s="102" t="n"/>
    </row>
    <row r="94">
      <c r="B94" s="50" t="inlineStr">
        <is>
          <t>3. Communiceren met andere mensen.</t>
        </is>
      </c>
      <c r="C94" s="40" t="n">
        <v>0</v>
      </c>
      <c r="D94" s="4" t="inlineStr">
        <is>
          <t>3. Gemeenschapsgericht</t>
        </is>
      </c>
      <c r="E94" s="40" t="n">
        <v>0</v>
      </c>
      <c r="F94" s="4" t="inlineStr">
        <is>
          <t>3. Overheid en geschiedenis</t>
        </is>
      </c>
      <c r="G94" s="40" t="n">
        <v>1</v>
      </c>
      <c r="H94" s="102" t="n"/>
      <c r="I94" s="102" t="n"/>
      <c r="J94" s="102" t="n"/>
    </row>
    <row r="95">
      <c r="B95" s="50" t="inlineStr">
        <is>
          <t>4. Een positie van autoriteit hebben.</t>
        </is>
      </c>
      <c r="C95" s="40" t="n">
        <v>0</v>
      </c>
      <c r="D95" s="4" t="inlineStr">
        <is>
          <t>4. Doorslaggevend</t>
        </is>
      </c>
      <c r="E95" s="40" t="n">
        <v>0</v>
      </c>
      <c r="F95" s="4" t="inlineStr">
        <is>
          <t>4. Rechtshandhaving</t>
        </is>
      </c>
      <c r="G95" s="40" t="n">
        <v>0</v>
      </c>
      <c r="H95" s="102" t="n"/>
      <c r="I95" s="102" t="n"/>
      <c r="J95" s="102" t="n"/>
    </row>
    <row r="96">
      <c r="B96" s="50" t="inlineStr">
        <is>
          <t>5. Het respecteren van regels en voorschriften.</t>
        </is>
      </c>
      <c r="C96" s="40" t="n">
        <v>0</v>
      </c>
      <c r="D96" s="4" t="inlineStr">
        <is>
          <t>5. Optimistisch</t>
        </is>
      </c>
      <c r="E96" s="40" t="n">
        <v>0</v>
      </c>
      <c r="F96" s="4" t="inlineStr">
        <is>
          <t>5. EHBO</t>
        </is>
      </c>
      <c r="G96" s="40" t="n">
        <v>0</v>
      </c>
      <c r="H96" s="102" t="n"/>
      <c r="I96" s="102" t="n"/>
      <c r="J96" s="102" t="n"/>
    </row>
    <row r="97">
      <c r="B97" s="50" t="inlineStr">
        <is>
          <t>6. Debatteren en het winnen van argumenten.</t>
        </is>
      </c>
      <c r="C97" s="40" t="n">
        <v>0</v>
      </c>
      <c r="D97" s="1" t="n"/>
      <c r="E97" s="40" t="n"/>
      <c r="F97" s="5" t="n"/>
      <c r="G97" s="40" t="n"/>
      <c r="H97" s="102" t="n"/>
      <c r="I97" s="102" t="n"/>
      <c r="J97" s="102" t="n"/>
    </row>
    <row r="98">
      <c r="B98" s="50" t="inlineStr">
        <is>
          <t>7. Het observeren en analyseren van het gedrag van mensen.</t>
        </is>
      </c>
      <c r="C98" s="40" t="n">
        <v>0</v>
      </c>
      <c r="D98" s="1" t="n"/>
      <c r="E98" s="40" t="n"/>
      <c r="F98" s="1" t="n"/>
      <c r="G98" s="40" t="n"/>
      <c r="H98" s="103" t="n"/>
      <c r="I98" s="103" t="n"/>
      <c r="J98" s="103" t="n"/>
    </row>
    <row r="99" ht="14.4" customFormat="1" customHeight="1" s="133">
      <c r="A99" s="73" t="n"/>
      <c r="B99" s="62" t="n"/>
      <c r="C99" s="125">
        <f>C92+C93+C94+C95+C96+C97+C98</f>
        <v/>
      </c>
      <c r="D99" s="64" t="n"/>
      <c r="E99" s="125">
        <f>E92+E93+E94+E95+E96+E97+E98</f>
        <v/>
      </c>
      <c r="F99" s="64" t="n"/>
      <c r="G99" s="125">
        <f>G92+G93+G94+G95+G96+G97+G98</f>
        <v/>
      </c>
      <c r="H99" s="132" t="n"/>
      <c r="J99" s="100" t="n"/>
    </row>
    <row r="100">
      <c r="A100" s="131" t="n">
        <v>13</v>
      </c>
      <c r="B100" s="50" t="inlineStr">
        <is>
          <t xml:space="preserve">1. Werken met de handen en op de manier leren. </t>
        </is>
      </c>
      <c r="C100" s="40" t="n">
        <v>0</v>
      </c>
      <c r="D100" s="4" t="inlineStr">
        <is>
          <t>1. Praktisch</t>
        </is>
      </c>
      <c r="E100" s="40" t="n">
        <v>0</v>
      </c>
      <c r="F100" s="4" t="inlineStr">
        <is>
          <t>1. Wiskunde en geometrie</t>
        </is>
      </c>
      <c r="G100" s="40" t="n">
        <v>0</v>
      </c>
      <c r="H100" s="134">
        <f>C107+E107+G107</f>
        <v/>
      </c>
      <c r="I100" s="101" t="inlineStr">
        <is>
          <t>Fabricage</t>
        </is>
      </c>
      <c r="J100" s="135"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v>0</v>
      </c>
      <c r="D101" s="4" t="inlineStr">
        <is>
          <t>2. Observerend</t>
        </is>
      </c>
      <c r="E101" s="40" t="n">
        <v>0</v>
      </c>
      <c r="F101" s="4" t="inlineStr">
        <is>
          <t>2. Chemie</t>
        </is>
      </c>
      <c r="G101" s="40" t="n">
        <v>0</v>
      </c>
      <c r="H101" s="102" t="n"/>
      <c r="I101" s="102" t="n"/>
      <c r="J101" s="102" t="n"/>
    </row>
    <row r="102">
      <c r="B102" s="50" t="inlineStr">
        <is>
          <t>3. Het uitvoeren van routinematig, georganiseerd en nauwkeurig werk.</t>
        </is>
      </c>
      <c r="C102" s="40" t="n">
        <v>0</v>
      </c>
      <c r="D102" s="4" t="inlineStr">
        <is>
          <t>3. Fysiek actief</t>
        </is>
      </c>
      <c r="E102" s="40" t="n">
        <v>0</v>
      </c>
      <c r="F102" s="4" t="inlineStr">
        <is>
          <t>3. Handel en industrie</t>
        </is>
      </c>
      <c r="G102" s="40" t="n">
        <v>1</v>
      </c>
      <c r="H102" s="102" t="n"/>
      <c r="I102" s="102" t="n"/>
      <c r="J102" s="102" t="n"/>
    </row>
    <row r="103">
      <c r="B103" s="50" t="inlineStr">
        <is>
          <t>4. Het uitvoeren van activiteiten die tastbare producten opleveren.</t>
        </is>
      </c>
      <c r="C103" s="40" t="n">
        <v>0</v>
      </c>
      <c r="D103" s="4" t="inlineStr">
        <is>
          <t>4. Stapsgewijze denker</t>
        </is>
      </c>
      <c r="E103" s="40" t="n">
        <v>0</v>
      </c>
      <c r="F103" s="4" t="inlineStr">
        <is>
          <t>4. Natuurkunde</t>
        </is>
      </c>
      <c r="G103" s="40" t="n">
        <v>0</v>
      </c>
      <c r="H103" s="102" t="n"/>
      <c r="I103" s="102" t="n"/>
      <c r="J103" s="102" t="n"/>
    </row>
    <row r="104">
      <c r="B104" s="50" t="inlineStr">
        <is>
          <t>5. Wiskunde toepassen om oplossingen uit te werken.</t>
        </is>
      </c>
      <c r="C104" s="40" t="n">
        <v>0</v>
      </c>
      <c r="D104" s="4" t="inlineStr">
        <is>
          <t>5. Gecoördineerd</t>
        </is>
      </c>
      <c r="E104" s="40" t="n">
        <v>0</v>
      </c>
      <c r="F104" s="5" t="inlineStr">
        <is>
          <t>5. Taalvaardigheid</t>
        </is>
      </c>
      <c r="G104" s="40" t="n">
        <v>0</v>
      </c>
      <c r="H104" s="102" t="n"/>
      <c r="I104" s="102" t="n"/>
      <c r="J104" s="102" t="n"/>
    </row>
    <row r="105">
      <c r="B105" s="50" t="inlineStr">
        <is>
          <t xml:space="preserve">6. Het gebruiken van hand- en elektrisch gereedschap, werkuitrusting en machines. </t>
        </is>
      </c>
      <c r="C105" s="40" t="n">
        <v>0</v>
      </c>
      <c r="D105" s="1" t="n"/>
      <c r="E105" s="40" t="n"/>
      <c r="F105" s="5" t="n"/>
      <c r="G105" s="40" t="n"/>
      <c r="H105" s="102" t="n"/>
      <c r="I105" s="102" t="n"/>
      <c r="J105" s="102" t="n"/>
    </row>
    <row r="106">
      <c r="B106" s="50" t="inlineStr">
        <is>
          <t>7. Het visualiseren van objecten in drie dimensies vanuit een vlakke tekening.</t>
        </is>
      </c>
      <c r="C106" s="40" t="n">
        <v>0</v>
      </c>
      <c r="D106" s="1" t="n"/>
      <c r="E106" s="40" t="n"/>
      <c r="F106" s="1" t="n"/>
      <c r="G106" s="40" t="n"/>
      <c r="H106" s="103" t="n"/>
      <c r="I106" s="103" t="n"/>
      <c r="J106" s="103" t="n"/>
    </row>
    <row r="107" ht="14.4" customFormat="1" customHeight="1" s="133">
      <c r="A107" s="73" t="n"/>
      <c r="B107" s="62" t="n"/>
      <c r="C107" s="125">
        <f>C100+C101+C102+C103+C104+C105+C106</f>
        <v/>
      </c>
      <c r="D107" s="64" t="n"/>
      <c r="E107" s="125">
        <f>E100+E101+E102+E103+E104+E105+E106</f>
        <v/>
      </c>
      <c r="F107" s="64" t="n"/>
      <c r="G107" s="125">
        <f>G100+G101+G102+G103+G104+G105+G106</f>
        <v/>
      </c>
      <c r="H107" s="132" t="n"/>
      <c r="J107" s="100" t="n"/>
    </row>
    <row r="108">
      <c r="A108" s="131" t="n">
        <v>14</v>
      </c>
      <c r="B108" s="50" t="inlineStr">
        <is>
          <t>1. Winkelen en naar het winkelcentrum gaan.</t>
        </is>
      </c>
      <c r="C108" s="40" t="n">
        <v>0</v>
      </c>
      <c r="D108" s="4" t="inlineStr">
        <is>
          <t>1. Enthousiast</t>
        </is>
      </c>
      <c r="E108" s="40" t="n">
        <v>0</v>
      </c>
      <c r="F108" s="4" t="inlineStr">
        <is>
          <t>1. Taalvaardigheid</t>
        </is>
      </c>
      <c r="G108" s="40" t="n">
        <v>0</v>
      </c>
      <c r="H108" s="134">
        <f>C115+E115+G115</f>
        <v/>
      </c>
      <c r="I108" s="130" t="inlineStr">
        <is>
          <t>Marketing, sales en service</t>
        </is>
      </c>
      <c r="J108" s="135" t="inlineStr">
        <is>
          <t>Planning, beheer en uitvoering van marketingactiviteiten ten behoeve van het bereiken van organisatorische doelstellingen.</t>
        </is>
      </c>
    </row>
    <row r="109">
      <c r="B109" s="50" t="inlineStr">
        <is>
          <t xml:space="preserve">2. De baas zijn. </t>
        </is>
      </c>
      <c r="C109" s="40" t="n">
        <v>0</v>
      </c>
      <c r="D109" s="4" t="inlineStr">
        <is>
          <t>2. Concurrerend</t>
        </is>
      </c>
      <c r="E109" s="40" t="n">
        <v>0</v>
      </c>
      <c r="F109" s="4" t="inlineStr">
        <is>
          <t>2. Marketing</t>
        </is>
      </c>
      <c r="G109" s="40" t="n">
        <v>0</v>
      </c>
      <c r="H109" s="102" t="n"/>
      <c r="I109" s="102" t="n"/>
      <c r="J109" s="102" t="n"/>
    </row>
    <row r="110">
      <c r="B110" s="50" t="inlineStr">
        <is>
          <t>3. Het maken van reclameschermen en het promoten van ideeën.</t>
        </is>
      </c>
      <c r="C110" s="40" t="n">
        <v>0</v>
      </c>
      <c r="D110" s="4" t="inlineStr">
        <is>
          <t>3. Creatief</t>
        </is>
      </c>
      <c r="E110" s="40" t="n">
        <v>0</v>
      </c>
      <c r="F110" s="4" t="inlineStr">
        <is>
          <t>3. Bedrijfseconomie</t>
        </is>
      </c>
      <c r="G110" s="40" t="n">
        <v>1</v>
      </c>
      <c r="H110" s="102" t="n"/>
      <c r="I110" s="102" t="n"/>
      <c r="J110" s="102" t="n"/>
    </row>
    <row r="111">
      <c r="B111" s="50" t="inlineStr">
        <is>
          <t>4. Het geven van presentaties en het toespreken van publiek.</t>
        </is>
      </c>
      <c r="C111" s="40" t="n">
        <v>0</v>
      </c>
      <c r="D111" s="4" t="inlineStr">
        <is>
          <t>4. Zelfgemotiveerd</t>
        </is>
      </c>
      <c r="E111" s="40" t="n">
        <v>0</v>
      </c>
      <c r="F111" s="4" t="inlineStr">
        <is>
          <t xml:space="preserve">4. Order to cash </t>
        </is>
      </c>
      <c r="G111" s="40" t="n">
        <v>0</v>
      </c>
      <c r="H111" s="102" t="n"/>
      <c r="I111" s="102" t="n"/>
      <c r="J111" s="102" t="n"/>
    </row>
    <row r="112">
      <c r="B112" s="50" t="inlineStr">
        <is>
          <t xml:space="preserve">5. Mensen overtuigen om producten te kopen of om deel te nemen aan promotie activiteiten. </t>
        </is>
      </c>
      <c r="C112" s="40" t="n">
        <v>0</v>
      </c>
      <c r="D112" s="4" t="inlineStr">
        <is>
          <t>5. Overtuigend</t>
        </is>
      </c>
      <c r="E112" s="40" t="n">
        <v>0</v>
      </c>
      <c r="F112" s="5" t="inlineStr">
        <is>
          <t>5. Communicatietechnologie</t>
        </is>
      </c>
      <c r="G112" s="40" t="n">
        <v>0</v>
      </c>
      <c r="H112" s="102" t="n"/>
      <c r="I112" s="102" t="n"/>
      <c r="J112" s="102" t="n"/>
    </row>
    <row r="113">
      <c r="B113" s="50" t="inlineStr">
        <is>
          <t>6. Het communiceren van ideeën naar andere mensen.</t>
        </is>
      </c>
      <c r="C113" s="40" t="n">
        <v>0</v>
      </c>
      <c r="D113" s="1" t="n"/>
      <c r="E113" s="40" t="n"/>
      <c r="F113" s="5" t="n"/>
      <c r="G113" s="40" t="n"/>
      <c r="H113" s="102" t="n"/>
      <c r="I113" s="102" t="n"/>
      <c r="J113" s="102" t="n"/>
    </row>
    <row r="114">
      <c r="B114" s="50" t="inlineStr">
        <is>
          <t xml:space="preserve">7. Het gebruik maken van de mogelijkheden om extra geld te verdienen. </t>
        </is>
      </c>
      <c r="C114" s="40" t="n">
        <v>0</v>
      </c>
      <c r="D114" s="1" t="n"/>
      <c r="E114" s="40" t="n"/>
      <c r="F114" s="1" t="n"/>
      <c r="G114" s="40" t="n"/>
      <c r="H114" s="103" t="n"/>
      <c r="I114" s="103" t="n"/>
      <c r="J114" s="103" t="n"/>
    </row>
    <row r="115" ht="14.4" customFormat="1" customHeight="1" s="133">
      <c r="A115" s="73" t="n"/>
      <c r="B115" s="62" t="n"/>
      <c r="C115" s="125">
        <f>C108+C109+C110+C111+C112+C113+C114</f>
        <v/>
      </c>
      <c r="D115" s="64" t="n"/>
      <c r="E115" s="125">
        <f>E108+E109+E110+E111+E112+E113+E114</f>
        <v/>
      </c>
      <c r="F115" s="64" t="n"/>
      <c r="G115" s="125">
        <f>G108+G109+G110+G111+G112+G113+G114</f>
        <v/>
      </c>
      <c r="H115" s="132" t="n"/>
      <c r="J115" s="100" t="n"/>
    </row>
    <row r="116">
      <c r="A116" s="131" t="n">
        <v>15</v>
      </c>
      <c r="B116" s="50" t="inlineStr">
        <is>
          <t>1. Formules interpreteren.</t>
        </is>
      </c>
      <c r="C116" s="40" t="n">
        <v>0</v>
      </c>
      <c r="D116" s="4" t="inlineStr">
        <is>
          <t>1. Detailgericht</t>
        </is>
      </c>
      <c r="E116" s="40" t="n">
        <v>0</v>
      </c>
      <c r="F116" s="4" t="inlineStr">
        <is>
          <t>1. Wiskunde</t>
        </is>
      </c>
      <c r="G116" s="40" t="n">
        <v>0</v>
      </c>
      <c r="H116" s="134">
        <f>C123+E123+G123</f>
        <v/>
      </c>
      <c r="I116" s="130" t="inlineStr">
        <is>
          <t>Wetenschap, technologie, engineering en mathematica</t>
        </is>
      </c>
      <c r="J116" s="135"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v>0</v>
      </c>
      <c r="D117" s="4" t="inlineStr">
        <is>
          <t>2. Nieuwsgierig</t>
        </is>
      </c>
      <c r="E117" s="40" t="n">
        <v>0</v>
      </c>
      <c r="F117" s="4" t="inlineStr">
        <is>
          <t>2. Wetenschap</t>
        </is>
      </c>
      <c r="G117" s="40" t="n">
        <v>0</v>
      </c>
      <c r="H117" s="102" t="n"/>
      <c r="I117" s="102" t="n"/>
      <c r="J117" s="102" t="n"/>
    </row>
    <row r="118">
      <c r="B118" s="50" t="inlineStr">
        <is>
          <t>3. Werken in een laboratorium.</t>
        </is>
      </c>
      <c r="C118" s="40" t="n">
        <v>0</v>
      </c>
      <c r="D118" s="4" t="inlineStr">
        <is>
          <t>3. Doelgericht</t>
        </is>
      </c>
      <c r="E118" s="40" t="n">
        <v>0</v>
      </c>
      <c r="F118" s="4" t="inlineStr">
        <is>
          <t>3. Computer Aided Drawing</t>
        </is>
      </c>
      <c r="G118" s="40" t="n">
        <v>1</v>
      </c>
      <c r="H118" s="102" t="n"/>
      <c r="I118" s="102" t="n"/>
      <c r="J118" s="102" t="n"/>
    </row>
    <row r="119">
      <c r="B119" s="50" t="inlineStr">
        <is>
          <t>4. Uitzoeken hoe zaken werken en het onderzoeken van nieuwe zaken.</t>
        </is>
      </c>
      <c r="C119" s="40" t="n">
        <v>0</v>
      </c>
      <c r="D119" s="4" t="inlineStr">
        <is>
          <t>4. Methodisch</t>
        </is>
      </c>
      <c r="E119" s="40" t="n">
        <v>0</v>
      </c>
      <c r="F119" s="4" t="inlineStr">
        <is>
          <t>4. Elektronica en computernetwerken</t>
        </is>
      </c>
      <c r="G119" s="40" t="n">
        <v>0</v>
      </c>
      <c r="H119" s="102" t="n"/>
      <c r="I119" s="102" t="n"/>
      <c r="J119" s="102" t="n"/>
    </row>
    <row r="120">
      <c r="B120" s="50" t="inlineStr">
        <is>
          <t>5. Het ontdekken van nieuwe technologie.</t>
        </is>
      </c>
      <c r="C120" s="40" t="n">
        <v>0</v>
      </c>
      <c r="D120" s="4" t="inlineStr">
        <is>
          <t>5. Statisch</t>
        </is>
      </c>
      <c r="E120" s="40" t="n">
        <v>0</v>
      </c>
      <c r="F120" s="4" t="inlineStr">
        <is>
          <t xml:space="preserve">5. Technologie </t>
        </is>
      </c>
      <c r="G120" s="40" t="n">
        <v>0</v>
      </c>
      <c r="H120" s="102" t="n"/>
      <c r="I120" s="102" t="n"/>
      <c r="J120" s="102" t="n"/>
    </row>
    <row r="121">
      <c r="B121" s="50" t="inlineStr">
        <is>
          <t>6. Experimenteren om de beste manier te vinden om dingen te doen.</t>
        </is>
      </c>
      <c r="C121" s="40" t="n">
        <v>0</v>
      </c>
      <c r="D121" s="1" t="n"/>
      <c r="E121" s="40" t="n"/>
      <c r="F121" s="4" t="n"/>
      <c r="G121" s="40" t="n"/>
      <c r="H121" s="102" t="n"/>
      <c r="I121" s="102" t="n"/>
      <c r="J121" s="102" t="n"/>
    </row>
    <row r="122">
      <c r="B122" s="50" t="inlineStr">
        <is>
          <t xml:space="preserve">7. Het besteden van aandacht aan details en nauwkeurig werken. </t>
        </is>
      </c>
      <c r="C122" s="40" t="n">
        <v>0</v>
      </c>
      <c r="D122" s="1" t="n"/>
      <c r="E122" s="40" t="n"/>
      <c r="F122" s="4" t="n"/>
      <c r="G122" s="40" t="n"/>
      <c r="H122" s="103" t="n"/>
      <c r="I122" s="103" t="n"/>
      <c r="J122" s="103" t="n"/>
    </row>
    <row r="123" ht="14.4" customFormat="1" customHeight="1" s="133">
      <c r="A123" s="73" t="n"/>
      <c r="B123" s="62" t="n"/>
      <c r="C123" s="125">
        <f>C116+C117+C118+C119+C120+C121+C122</f>
        <v/>
      </c>
      <c r="D123" s="64" t="n"/>
      <c r="E123" s="125">
        <f>E116+E117+E118+E119+E120+E121+E122</f>
        <v/>
      </c>
      <c r="F123" s="65" t="n"/>
      <c r="G123" s="125">
        <f>G116+G117+G118+G119+G120+G121+G122</f>
        <v/>
      </c>
      <c r="H123" s="132" t="n"/>
      <c r="J123" s="100" t="n"/>
    </row>
    <row r="124">
      <c r="A124" s="131" t="n">
        <v>16</v>
      </c>
      <c r="B124" s="50" t="inlineStr">
        <is>
          <t>1. Reizen.</t>
        </is>
      </c>
      <c r="C124" s="40" t="n">
        <v>0</v>
      </c>
      <c r="D124" s="4" t="inlineStr">
        <is>
          <t>1. Ondernemend</t>
        </is>
      </c>
      <c r="E124" s="40" t="n">
        <v>0</v>
      </c>
      <c r="F124" s="4" t="inlineStr">
        <is>
          <t>1. Logistiek en distributie</t>
        </is>
      </c>
      <c r="G124" s="40" t="n">
        <v>0</v>
      </c>
      <c r="H124" s="134">
        <f>C131+E131+G131</f>
        <v/>
      </c>
      <c r="I124" s="130" t="inlineStr">
        <is>
          <t>Transport, distributie en logistiek</t>
        </is>
      </c>
      <c r="J124" s="135"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v>0</v>
      </c>
      <c r="D125" s="4" t="inlineStr">
        <is>
          <t>2. Mechanisch</t>
        </is>
      </c>
      <c r="E125" s="40" t="n">
        <v>0</v>
      </c>
      <c r="F125" s="4" t="inlineStr">
        <is>
          <t>2. Handel en industrie</t>
        </is>
      </c>
      <c r="G125" s="40" t="n">
        <v>0</v>
      </c>
      <c r="H125" s="102" t="n"/>
      <c r="I125" s="102" t="n"/>
      <c r="J125" s="102" t="n"/>
    </row>
    <row r="126">
      <c r="B126" s="50" t="inlineStr">
        <is>
          <t>3. Het oplossen van mechanische problemen.</t>
        </is>
      </c>
      <c r="C126" s="40" t="n">
        <v>0</v>
      </c>
      <c r="D126" s="4" t="inlineStr">
        <is>
          <t>3. Gecoördineerd</t>
        </is>
      </c>
      <c r="E126" s="40" t="n">
        <v>0</v>
      </c>
      <c r="F126" s="4" t="inlineStr">
        <is>
          <t>3. Exacte wetenschappen</t>
        </is>
      </c>
      <c r="G126" s="40" t="n">
        <v>1</v>
      </c>
      <c r="H126" s="102" t="n"/>
      <c r="I126" s="102" t="n"/>
      <c r="J126" s="102" t="n"/>
    </row>
    <row r="127">
      <c r="B127" s="50" t="inlineStr">
        <is>
          <t>4. Het ontwerpen van efficiënte processen.</t>
        </is>
      </c>
      <c r="C127" s="40" t="n">
        <v>0</v>
      </c>
      <c r="D127" s="4" t="inlineStr">
        <is>
          <t>4. Observerend</t>
        </is>
      </c>
      <c r="E127" s="40" t="n">
        <v>0</v>
      </c>
      <c r="F127" s="4" t="inlineStr">
        <is>
          <t>4. Economie</t>
        </is>
      </c>
      <c r="G127" s="40" t="n">
        <v>0</v>
      </c>
      <c r="H127" s="102" t="n"/>
      <c r="I127" s="102" t="n"/>
      <c r="J127" s="102" t="n"/>
    </row>
    <row r="128">
      <c r="B128" s="50" t="inlineStr">
        <is>
          <t>5. Het anticiperen op behoeften en het voorbereiden van ontmoetingen.</t>
        </is>
      </c>
      <c r="C128" s="40" t="n">
        <v>0</v>
      </c>
      <c r="D128" s="4" t="inlineStr">
        <is>
          <t>5. Planner</t>
        </is>
      </c>
      <c r="E128" s="40" t="n">
        <v>0</v>
      </c>
      <c r="F128" s="5" t="inlineStr">
        <is>
          <t>5. Vreemde talen</t>
        </is>
      </c>
      <c r="G128" s="40" t="n">
        <v>0</v>
      </c>
      <c r="H128" s="102" t="n"/>
      <c r="I128" s="102" t="n"/>
      <c r="J128" s="102" t="n"/>
    </row>
    <row r="129">
      <c r="B129" s="50" t="inlineStr">
        <is>
          <t xml:space="preserve">6. Auto rijden. </t>
        </is>
      </c>
      <c r="C129" s="40" t="n">
        <v>0</v>
      </c>
      <c r="D129" s="1" t="n"/>
      <c r="E129" s="40" t="n"/>
      <c r="F129" s="5" t="n"/>
      <c r="G129" s="40" t="n"/>
      <c r="H129" s="102" t="n"/>
      <c r="I129" s="102" t="n"/>
      <c r="J129" s="102" t="n"/>
    </row>
    <row r="130">
      <c r="B130" s="50" t="inlineStr">
        <is>
          <t>7. Het verplaatsen van dingen van de ene lokatie naar de andere lokatie.</t>
        </is>
      </c>
      <c r="C130" s="40" t="n">
        <v>0</v>
      </c>
      <c r="D130" s="1" t="n"/>
      <c r="E130" s="40" t="n"/>
      <c r="F130" s="1" t="n"/>
      <c r="G130" s="40" t="n"/>
      <c r="H130" s="103" t="n"/>
      <c r="I130" s="103" t="n"/>
      <c r="J130" s="103" t="n"/>
    </row>
    <row r="131" ht="14.4" customFormat="1" customHeight="1" s="133">
      <c r="A131" s="61" t="n"/>
      <c r="B131" s="63" t="n"/>
      <c r="C131" s="125">
        <f>C124+C125+C126+C127+C128+C129+C130</f>
        <v/>
      </c>
      <c r="D131" s="64" t="n"/>
      <c r="E131" s="125">
        <f>E124+E125+E126+E127+E128+E129+E130</f>
        <v/>
      </c>
      <c r="F131" s="64" t="n"/>
      <c r="G131" s="125">
        <f>G124+G125+G126+G127+G128+G129+G130</f>
        <v/>
      </c>
      <c r="H131" s="137" t="n"/>
      <c r="I131" s="120" t="n"/>
      <c r="J131" s="121" t="n"/>
    </row>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09375" defaultRowHeight="13.8"/>
  <cols>
    <col width="8.33203125" bestFit="1" customWidth="1" style="128" min="1" max="1"/>
    <col width="109.5546875" bestFit="1" customWidth="1" style="128" min="2" max="2"/>
    <col width="6.6640625" bestFit="1" customWidth="1" style="113" min="3" max="3"/>
    <col width="12.44140625" bestFit="1" customWidth="1" style="113" min="4" max="4"/>
    <col width="24" bestFit="1" customWidth="1" style="113" min="5" max="5"/>
    <col width="74.109375" customWidth="1" style="128" min="6" max="8"/>
    <col width="74.109375" customWidth="1" style="128" min="9" max="16384"/>
  </cols>
  <sheetData>
    <row r="1">
      <c r="A1" s="108" t="inlineStr">
        <is>
          <t>Cultuur</t>
        </is>
      </c>
      <c r="B1" s="58" t="inlineStr">
        <is>
          <t>Aspecten: Beoordeling van stelling (in zijn algemeenheid) a.h.v. score: 1 t/m 5</t>
        </is>
      </c>
      <c r="C1" s="108" t="inlineStr">
        <is>
          <t>Score</t>
        </is>
      </c>
      <c r="D1" s="108" t="inlineStr">
        <is>
          <t>Totaal score</t>
        </is>
      </c>
      <c r="E1" s="108" t="inlineStr">
        <is>
          <t>Cultuur</t>
        </is>
      </c>
      <c r="F1" s="108" t="inlineStr">
        <is>
          <t>Omschrijving</t>
        </is>
      </c>
    </row>
    <row r="2" ht="13.2" customHeight="1">
      <c r="A2" s="131" t="n">
        <v>1</v>
      </c>
      <c r="B2" s="41" t="inlineStr">
        <is>
          <t>1. Er bestaan gemeenschappelijke waarden en doelstellingen.</t>
        </is>
      </c>
      <c r="C2" s="42" t="n">
        <v>1</v>
      </c>
      <c r="D2" s="138">
        <f>C6</f>
        <v/>
      </c>
      <c r="E2" s="130" t="inlineStr">
        <is>
          <t>Mensgerichte cultuur</t>
        </is>
      </c>
      <c r="F2" s="139" t="inlineStr">
        <is>
          <t>Deze cultuur is typerend voor zorginstellingen en service gerichte organisaties.</t>
        </is>
      </c>
    </row>
    <row r="3">
      <c r="B3" s="4" t="inlineStr">
        <is>
          <t>2. Onderlinge samenhang (wij-gevoel). Participatieve instelling, teamwork, het beste uit elkaar halen.</t>
        </is>
      </c>
      <c r="C3" s="43" t="n">
        <v>2</v>
      </c>
      <c r="D3" s="117" t="n"/>
      <c r="E3" s="102" t="n"/>
      <c r="F3" s="102" t="n"/>
    </row>
    <row r="4">
      <c r="B4" s="4" t="inlineStr">
        <is>
          <t>3. Klanten worden als partners beschouwd.</t>
        </is>
      </c>
      <c r="C4" s="43" t="n">
        <v>3</v>
      </c>
      <c r="D4" s="117" t="n"/>
      <c r="E4" s="102" t="n"/>
      <c r="F4" s="102" t="n"/>
    </row>
    <row r="5">
      <c r="B5" s="4" t="inlineStr">
        <is>
          <t>4. Regels en procedures zijn ondergeschikt aan het gevoel een team te zijn.</t>
        </is>
      </c>
      <c r="C5" s="43" t="n">
        <v>4</v>
      </c>
      <c r="D5" s="117" t="n"/>
      <c r="E5" s="102" t="n"/>
      <c r="F5" s="102" t="n"/>
    </row>
    <row r="6">
      <c r="B6" s="62" t="n"/>
      <c r="C6" s="44">
        <f>SUM(C2:C5)</f>
        <v/>
      </c>
      <c r="D6" s="117" t="n"/>
      <c r="E6" s="103" t="n"/>
      <c r="F6" s="103" t="n"/>
    </row>
    <row r="7" ht="13.95" customFormat="1" customHeight="1" s="133">
      <c r="A7" s="141" t="n">
        <v>2</v>
      </c>
      <c r="B7" s="4" t="inlineStr">
        <is>
          <t>1. Snel reageren op snel veranderende omstandigheden.</t>
        </is>
      </c>
      <c r="C7" s="45" t="n">
        <v>5</v>
      </c>
      <c r="D7" s="142">
        <f>C11</f>
        <v/>
      </c>
      <c r="E7" s="73" t="n"/>
      <c r="F7" s="72" t="n"/>
    </row>
    <row r="8">
      <c r="A8" s="100" t="n"/>
      <c r="B8" s="4" t="inlineStr">
        <is>
          <t>2. Centraal staan innovatie en vernieuwing zoals de ontwikkeling van nieuwe diensten en producten. Voorbereiding op de toekomst.</t>
        </is>
      </c>
      <c r="C8" s="45" t="n">
        <v>5</v>
      </c>
      <c r="D8" s="117" t="n"/>
      <c r="E8" s="130" t="inlineStr">
        <is>
          <t>Innovatieve cultuur</t>
        </is>
      </c>
      <c r="F8" s="140" t="inlineStr">
        <is>
          <t>Deze cultuur is typerend voor softwarebedrijven, luchtvaart, ruimtevaart e.d.</t>
        </is>
      </c>
    </row>
    <row r="9">
      <c r="A9" s="100" t="n"/>
      <c r="B9" s="4" t="inlineStr">
        <is>
          <t>3. Medewerkers worden gestimuleerd om creatief en flexibel te zijn.</t>
        </is>
      </c>
      <c r="C9" s="45" t="n">
        <v>5</v>
      </c>
      <c r="D9" s="117" t="n"/>
      <c r="E9" s="102" t="n"/>
      <c r="F9" s="102" t="n"/>
    </row>
    <row r="10">
      <c r="A10" s="100" t="n"/>
      <c r="B10" s="4" t="inlineStr">
        <is>
          <t>4. De organisatie is flexibel en kan indien nodig snel een nieuwe vorm aannemen.</t>
        </is>
      </c>
      <c r="C10" s="45" t="n">
        <v>5</v>
      </c>
      <c r="D10" s="117" t="n"/>
      <c r="E10" s="102" t="n"/>
      <c r="F10" s="102" t="n"/>
    </row>
    <row r="11">
      <c r="A11" s="67" t="n"/>
      <c r="B11" s="62" t="n"/>
      <c r="C11" s="44">
        <f>SUM(C7:C10)</f>
        <v/>
      </c>
      <c r="D11" s="69" t="n"/>
      <c r="E11" s="103" t="n"/>
      <c r="F11" s="103" t="n"/>
    </row>
    <row r="12" ht="13.95" customFormat="1" customHeight="1" s="133">
      <c r="A12" s="141" t="n">
        <v>3</v>
      </c>
      <c r="B12" s="4" t="inlineStr">
        <is>
          <t>1. Het centraal staan van procedures en regels.</t>
        </is>
      </c>
      <c r="C12" s="45" t="n">
        <v>4</v>
      </c>
      <c r="D12" s="142">
        <f>C16</f>
        <v/>
      </c>
      <c r="E12" s="73" t="n"/>
      <c r="F12" s="72" t="n"/>
    </row>
    <row r="13">
      <c r="A13" s="100" t="n"/>
      <c r="B13" s="4" t="inlineStr">
        <is>
          <t>2. De leidinggevenden coördineren en organiseren.</t>
        </is>
      </c>
      <c r="C13" s="45" t="n">
        <v>5</v>
      </c>
      <c r="D13" s="117" t="n"/>
      <c r="E13" s="130" t="inlineStr">
        <is>
          <t>Beheersgerichte cultuur</t>
        </is>
      </c>
      <c r="F13" s="140" t="inlineStr">
        <is>
          <t>Deze cultuur is typerend voor overheids- of onderwijsinstellingen.</t>
        </is>
      </c>
    </row>
    <row r="14">
      <c r="A14" s="100" t="n"/>
      <c r="B14" s="4" t="inlineStr">
        <is>
          <t>3. Langetermijndoelen zijn stabiliteit (in stand houden van de organisatie), efficiëntie en voorspelbaarheid.</t>
        </is>
      </c>
      <c r="C14" s="45" t="n">
        <v>5</v>
      </c>
      <c r="D14" s="117" t="n"/>
      <c r="E14" s="102" t="n"/>
      <c r="F14" s="102" t="n"/>
    </row>
    <row r="15">
      <c r="A15" s="100" t="n"/>
      <c r="B15" s="4" t="inlineStr">
        <is>
          <t>4. De organisatie kenmerkt zich door trage besluitvormingsprocessen</t>
        </is>
      </c>
      <c r="C15" s="45" t="n">
        <v>5</v>
      </c>
      <c r="D15" s="117" t="n"/>
      <c r="E15" s="102" t="n"/>
      <c r="F15" s="102" t="n"/>
    </row>
    <row r="16">
      <c r="A16" s="67" t="n"/>
      <c r="B16" s="62" t="n"/>
      <c r="C16" s="44">
        <f>SUM(C12:C15)</f>
        <v/>
      </c>
      <c r="D16" s="69" t="n"/>
      <c r="E16" s="103" t="n"/>
      <c r="F16" s="103" t="n"/>
    </row>
    <row r="17" ht="13.95" customFormat="1" customHeight="1" s="133">
      <c r="A17" s="141" t="n">
        <v>4</v>
      </c>
      <c r="B17" s="4" t="inlineStr">
        <is>
          <t>1. Centrale waarden zijn productiviteit, resultaten, winst en taakgerichtheid.</t>
        </is>
      </c>
      <c r="C17" s="45" t="n">
        <v>5</v>
      </c>
      <c r="D17" s="142">
        <f>C21</f>
        <v/>
      </c>
      <c r="E17" s="73" t="n"/>
      <c r="F17" s="72" t="n"/>
    </row>
    <row r="18">
      <c r="A18" s="100" t="n"/>
      <c r="B18" s="4" t="inlineStr">
        <is>
          <t>2. De externe positionering wordt benadrukt om de concurrentiepositie te versterken.</t>
        </is>
      </c>
      <c r="C18" s="45" t="n">
        <v>3</v>
      </c>
      <c r="D18" s="117" t="n"/>
      <c r="E18" s="130" t="inlineStr">
        <is>
          <t>Resultaatgerichte cultuur</t>
        </is>
      </c>
      <c r="F18" s="139" t="inlineStr">
        <is>
          <t>Deze cultuur is typerend voor organisaties die zich richten op externe transacties met belanghebbenden (klanten, leveranciers e.d.). De organisatie concurreert met gelijkaardige organisaties.</t>
        </is>
      </c>
    </row>
    <row r="19">
      <c r="A19" s="100" t="n"/>
      <c r="B19" s="4" t="inlineStr">
        <is>
          <t>3. Er is een duidelijk doel aanwezig en er wordt gebruikgemaakt van een agressieve strategie.</t>
        </is>
      </c>
      <c r="C19" s="45" t="n">
        <v>5</v>
      </c>
      <c r="D19" s="117" t="n"/>
      <c r="E19" s="102" t="n"/>
      <c r="F19" s="102" t="n"/>
    </row>
    <row r="20">
      <c r="A20" s="100" t="n"/>
      <c r="B20" s="4" t="inlineStr">
        <is>
          <t>4. Leidinggevenden zijn veeleisend en leggen de nadruk op de marktleider zijn.</t>
        </is>
      </c>
      <c r="C20" s="45" t="n">
        <v>5</v>
      </c>
      <c r="D20" s="117" t="n"/>
      <c r="E20" s="102" t="n"/>
      <c r="F20" s="102" t="n"/>
    </row>
    <row r="21">
      <c r="A21" s="67" t="n"/>
      <c r="B21" s="62" t="n"/>
      <c r="C21" s="46">
        <f>SUM(C17:C20)</f>
        <v/>
      </c>
      <c r="D21" s="69" t="n"/>
      <c r="E21" s="103" t="n"/>
      <c r="F21" s="103" t="n"/>
    </row>
    <row r="22" ht="14.4" customFormat="1" customHeight="1" s="133">
      <c r="A22" s="68" t="n"/>
      <c r="B22" s="70" t="n"/>
      <c r="C22" s="71" t="n"/>
      <c r="D22" s="143" t="n"/>
      <c r="E22" s="120" t="n"/>
      <c r="F22" s="121" t="n"/>
    </row>
    <row r="23">
      <c r="A23" s="47" t="n"/>
    </row>
    <row r="24">
      <c r="A24" s="48" t="n"/>
    </row>
    <row r="25">
      <c r="A25" s="48" t="n"/>
    </row>
    <row r="26">
      <c r="A26" s="48" t="n"/>
    </row>
    <row r="27">
      <c r="A27" s="48" t="n"/>
    </row>
    <row r="28">
      <c r="A28" s="48" t="n"/>
    </row>
    <row r="29">
      <c r="A29" s="48" t="n"/>
    </row>
    <row r="30">
      <c r="A30" s="48" t="n"/>
    </row>
    <row r="31">
      <c r="A31" s="48" t="n"/>
    </row>
    <row r="32">
      <c r="A32" s="48"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D12:D15"/>
    <mergeCell ref="A12:A15"/>
    <mergeCell ref="D22:F22"/>
    <mergeCell ref="A17:A20"/>
    <mergeCell ref="A2:A6"/>
    <mergeCell ref="F8:F11"/>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50"/>
  <sheetViews>
    <sheetView tabSelected="1" topLeftCell="C1" workbookViewId="0">
      <selection activeCell="F4" sqref="F4"/>
    </sheetView>
  </sheetViews>
  <sheetFormatPr baseColWidth="8" defaultColWidth="9.109375" defaultRowHeight="13.8"/>
  <cols>
    <col width="15.88671875" bestFit="1" customWidth="1" style="113" min="1" max="1"/>
    <col width="78.6640625" customWidth="1" style="128" min="2" max="3"/>
    <col width="88.33203125" customWidth="1" style="128" min="4" max="4"/>
    <col width="9.109375" customWidth="1" style="128" min="5" max="6"/>
    <col width="9.109375" customWidth="1" style="128" min="7" max="16384"/>
  </cols>
  <sheetData>
    <row r="1">
      <c r="A1" s="108" t="inlineStr">
        <is>
          <t>Component</t>
        </is>
      </c>
      <c r="B1" s="108" t="inlineStr">
        <is>
          <t>Omschrijving</t>
        </is>
      </c>
      <c r="C1" s="108" t="inlineStr">
        <is>
          <t>Vraagstelling</t>
        </is>
      </c>
      <c r="D1" s="108" t="inlineStr">
        <is>
          <t>Toelichting</t>
        </is>
      </c>
    </row>
    <row r="2" ht="55.2" customHeight="1">
      <c r="A2" s="130"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inlineStr">
        <is>
          <t>aaaaaaaaaaaaaaaaaaa</t>
        </is>
      </c>
    </row>
    <row r="3" ht="14.4" customFormat="1" customHeight="1" s="133">
      <c r="A3" s="99" t="n"/>
      <c r="B3" s="100" t="n"/>
      <c r="C3" s="99" t="n"/>
      <c r="D3" s="74" t="n"/>
    </row>
    <row r="4" ht="55.2" customHeight="1">
      <c r="A4" s="130"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inlineStr">
        <is>
          <t>aaaaaaaaaaaaaaa</t>
        </is>
      </c>
    </row>
    <row r="5" ht="14.4" customFormat="1" customHeight="1" s="133">
      <c r="A5" s="99" t="n"/>
      <c r="B5" s="100" t="n"/>
      <c r="C5" s="99" t="n"/>
      <c r="D5" s="74" t="n"/>
    </row>
    <row r="6" ht="55.2" customFormat="1" customHeight="1" s="133">
      <c r="A6" s="130"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inlineStr">
        <is>
          <t>asdasas</t>
        </is>
      </c>
    </row>
    <row r="7" customFormat="1" s="133">
      <c r="A7" s="84" t="n"/>
      <c r="B7" s="99" t="n"/>
      <c r="C7" s="99" t="n"/>
      <c r="D7" s="74" t="n"/>
    </row>
    <row r="8" ht="82.95" customHeight="1">
      <c r="A8" s="130"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inlineStr">
        <is>
          <t>asfwfvsz</t>
        </is>
      </c>
    </row>
    <row r="9" ht="14.4" customFormat="1" customHeight="1" s="133">
      <c r="A9" s="99" t="n"/>
      <c r="B9" s="100" t="n"/>
      <c r="C9" s="99" t="n"/>
      <c r="D9" s="74" t="n"/>
    </row>
    <row r="10" ht="69" customHeight="1">
      <c r="A10" s="130"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inlineStr">
        <is>
          <t>asdawgffq awdwq</t>
        </is>
      </c>
    </row>
    <row r="11" customFormat="1" s="133">
      <c r="A11" s="98" t="n"/>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32" min="1" max="1"/>
    <col width="123.109375" customWidth="1" style="32" min="2" max="2"/>
    <col width="14.44140625" bestFit="1" customWidth="1" style="32" min="3" max="3"/>
    <col width="62" bestFit="1" customWidth="1" style="32" min="4" max="4"/>
    <col width="9.109375" customWidth="1" style="32" min="5" max="6"/>
    <col width="9.109375" customWidth="1" style="32" min="7" max="16384"/>
  </cols>
  <sheetData>
    <row r="1">
      <c r="A1" s="31" t="inlineStr">
        <is>
          <t>* Selecteer optie in uitvouwmenu</t>
        </is>
      </c>
    </row>
    <row r="2">
      <c r="A2" s="146" t="inlineStr">
        <is>
          <t>Fase 1.0 | Loopbaanfase</t>
        </is>
      </c>
      <c r="B2" s="110" t="n"/>
    </row>
    <row r="3" ht="45.75" customHeight="1">
      <c r="A3" s="148"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10" t="n"/>
    </row>
    <row r="4">
      <c r="A4" s="75" t="inlineStr">
        <is>
          <t>Loopbaan fase *</t>
        </is>
      </c>
      <c r="B4" s="33" t="n"/>
    </row>
    <row r="5">
      <c r="A5" s="146" t="inlineStr">
        <is>
          <t>Fase 1.1 | Big Five Persoonlijkheidsdimensies</t>
        </is>
      </c>
      <c r="B5" s="110" t="n"/>
    </row>
    <row r="6" ht="49.5" customHeight="1">
      <c r="A6" s="148"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10" t="n"/>
    </row>
    <row r="7" ht="158.4" customHeight="1">
      <c r="A7" s="134" t="inlineStr">
        <is>
          <t>Extraversie *</t>
        </is>
      </c>
      <c r="B7" s="34" t="inlineStr"/>
    </row>
    <row r="8">
      <c r="A8" s="126" t="inlineStr">
        <is>
          <t>Altruïsme *</t>
        </is>
      </c>
      <c r="B8" s="16">
        <f>(20+C4-C9+C14-C19+C24-C29+C34-C39+C44-C49)</f>
        <v/>
      </c>
    </row>
    <row r="9">
      <c r="A9" s="85" t="inlineStr">
        <is>
          <t>Consciëntieusheid *</t>
        </is>
      </c>
      <c r="B9" s="30">
        <f>(14-D5+D10-D15+D20-D25+D30-D35+D40+D45+D50)</f>
        <v/>
      </c>
    </row>
    <row r="10">
      <c r="A10" s="83" t="inlineStr">
        <is>
          <t>Neuroticisme *</t>
        </is>
      </c>
      <c r="B10" s="77">
        <f>(14+E6-E11+E16-E21+E26-E31+E36-E41+E46+E51)</f>
        <v/>
      </c>
    </row>
    <row r="11">
      <c r="A11" s="83" t="inlineStr">
        <is>
          <t>Openheid *</t>
        </is>
      </c>
      <c r="B11" s="77">
        <f>(38-F7+F12-F17+F22-F27-F32-F37-F42-F47-F52)</f>
        <v/>
      </c>
    </row>
    <row r="12">
      <c r="A12" s="146" t="inlineStr">
        <is>
          <t>Fase 2.0 | Loopbaanankers</t>
        </is>
      </c>
      <c r="B12" s="110" t="n"/>
    </row>
    <row r="13" ht="46.5" customHeight="1">
      <c r="A13" s="148"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10" t="n"/>
    </row>
    <row r="14">
      <c r="A14" s="134" t="inlineStr">
        <is>
          <t>Hoogste score 1 *</t>
        </is>
      </c>
      <c r="B14" s="34" t="inlineStr"/>
    </row>
    <row r="15">
      <c r="A15" s="126" t="inlineStr">
        <is>
          <t>Hoogste score 2 *</t>
        </is>
      </c>
      <c r="B15" s="16" t="inlineStr"/>
    </row>
    <row r="16">
      <c r="A16" s="146" t="inlineStr">
        <is>
          <t>Fase 2.1 | Carriere Clusters</t>
        </is>
      </c>
      <c r="B16" s="110" t="n"/>
    </row>
    <row r="17" ht="32.25" customHeight="1">
      <c r="A17" s="148"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10" t="n"/>
    </row>
    <row r="18">
      <c r="A18" s="126" t="inlineStr">
        <is>
          <t>Hoogste score 1 *</t>
        </is>
      </c>
      <c r="B18" s="16" t="inlineStr"/>
    </row>
    <row r="19">
      <c r="A19" s="126" t="inlineStr">
        <is>
          <t>Hoogste score 2 *</t>
        </is>
      </c>
      <c r="B19" s="16" t="inlineStr"/>
    </row>
    <row r="20">
      <c r="A20" s="144" t="inlineStr">
        <is>
          <t>Fase 2.2 | Cultuur analyse</t>
        </is>
      </c>
      <c r="B20" s="115" t="n"/>
    </row>
    <row r="21" ht="62.25" customHeight="1">
      <c r="A21" s="14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6" t="n"/>
    </row>
    <row r="22">
      <c r="A22" s="126" t="inlineStr">
        <is>
          <t>Hoogste score 1 *</t>
        </is>
      </c>
      <c r="B22" s="16" t="inlineStr"/>
    </row>
    <row r="23">
      <c r="A23" s="126" t="inlineStr">
        <is>
          <t>Hoogste score 2 *</t>
        </is>
      </c>
      <c r="B23" s="16" t="n"/>
    </row>
    <row r="24">
      <c r="A24" s="144" t="inlineStr">
        <is>
          <t>Fase 2.3 | J.C.M.</t>
        </is>
      </c>
      <c r="B24" s="115" t="n"/>
    </row>
    <row r="25">
      <c r="A25" s="147"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6" t="n"/>
    </row>
    <row r="26">
      <c r="A26" s="117" t="n"/>
      <c r="B26" s="100" t="n"/>
    </row>
    <row r="27" ht="277.5" customHeight="1">
      <c r="A27" s="119" t="n"/>
      <c r="B27" s="121" t="n"/>
    </row>
    <row r="28">
      <c r="A28" s="76" t="inlineStr">
        <is>
          <t>Taakvaardigheid</t>
        </is>
      </c>
      <c r="B28" s="57" t="inlineStr">
        <is>
          <t>aaaaaaaaaaaaaaaaaaa</t>
        </is>
      </c>
    </row>
    <row r="29">
      <c r="A29" s="76" t="inlineStr">
        <is>
          <t>Taakidentiteit</t>
        </is>
      </c>
      <c r="B29" s="57" t="inlineStr">
        <is>
          <t>aaaaaaaaaaaaaaa</t>
        </is>
      </c>
    </row>
    <row r="30">
      <c r="A30" s="76" t="inlineStr">
        <is>
          <t>Taakbetekenis</t>
        </is>
      </c>
      <c r="B30" s="57" t="inlineStr">
        <is>
          <t>asdasas</t>
        </is>
      </c>
    </row>
    <row r="31">
      <c r="A31" s="76" t="inlineStr">
        <is>
          <t>Autonomie</t>
        </is>
      </c>
      <c r="B31" s="57" t="inlineStr">
        <is>
          <t>asfwfvsz</t>
        </is>
      </c>
    </row>
    <row r="32">
      <c r="A32" s="76" t="inlineStr">
        <is>
          <t>Feedback</t>
        </is>
      </c>
      <c r="B32" s="57" t="inlineStr">
        <is>
          <t>asdawgffq awdwq</t>
        </is>
      </c>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29" min="1" max="1"/>
    <col width="70.6640625" customWidth="1" style="32" min="2" max="3"/>
    <col width="50.6640625" customWidth="1" style="32" min="4" max="5"/>
    <col width="9.109375" customWidth="1" style="32" min="6" max="7"/>
    <col width="9.109375" customWidth="1" style="32" min="8"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5" customHeight="1">
      <c r="A13" s="15" t="inlineStr">
        <is>
          <t xml:space="preserve">Integratie Prognose Model &amp; Functioneel arbeidsmarktadvies | Beroeps- of loopbaan onderzoek &amp; Beroeps- of loopbaankeuze advies </t>
        </is>
      </c>
    </row>
    <row r="14" ht="43.2" customHeight="1">
      <c r="A14" s="15" t="inlineStr">
        <is>
          <t>Integratie Prognose Model &amp; Functioneel arbeidsmarktadvies | Beroeps- of loopbaan onderzoek &amp; Beroeps- of loopbaankeuze advies | Personal Training &amp; Voedingsoptiek</t>
        </is>
      </c>
    </row>
    <row r="15" ht="28.95" customHeight="1">
      <c r="A15" s="29" t="inlineStr">
        <is>
          <t>Beroeps- of loopbaan onderzoek &amp; Beroeps- of loopbaankeuze advies | Personal Training &amp; Voedingsoptiek</t>
        </is>
      </c>
    </row>
    <row r="16">
      <c r="A16" s="15" t="n"/>
    </row>
    <row r="17" ht="100.95"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5"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5"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5"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5"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5"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5"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5"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5"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5"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5"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5"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5"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5"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2026-06-29T09:55:44Z</dcterms:modified>
  <cp:lastModifiedBy>Lucas (L.M.M.) Peters</cp:lastModifiedBy>
</cp:coreProperties>
</file>